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9c7f7810a58defe/Desktop/Myntra_Social_Media_Analytics_Project/"/>
    </mc:Choice>
  </mc:AlternateContent>
  <xr:revisionPtr revIDLastSave="0" documentId="8_{FE3B55D0-B67D-4EBF-8C5B-7913011D808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Raw_Post_Data" sheetId="33" r:id="rId1"/>
    <sheet name="Sheet1" sheetId="34" r:id="rId2"/>
    <sheet name="Engagment Summary " sheetId="16" r:id="rId3"/>
    <sheet name="Campaign Data " sheetId="17" r:id="rId4"/>
    <sheet name="Post" sheetId="7" r:id="rId5"/>
    <sheet name="2.Engagement Analysis " sheetId="22" r:id="rId6"/>
    <sheet name="3.Platform Analysis " sheetId="23" r:id="rId7"/>
    <sheet name="4.Hashtag Analysis" sheetId="25" r:id="rId8"/>
    <sheet name="5.Campaign Effectiveness" sheetId="28" r:id="rId9"/>
    <sheet name="6.Follower Retention &amp; Loy" sheetId="30" r:id="rId10"/>
  </sheets>
  <definedNames>
    <definedName name="ExternalData_3" localSheetId="2" hidden="1">'Engagment Summary '!$A$1:$G$201</definedName>
    <definedName name="ExternalData_3" localSheetId="4" hidden="1">Post!$A$1:$O$301</definedName>
    <definedName name="ExternalData_4" localSheetId="3" hidden="1">'Campaign Data '!$A$1:$F$5</definedName>
  </definedNames>
  <calcPr calcId="191028"/>
  <pivotCaches>
    <pivotCache cacheId="683" r:id="rId11"/>
    <pivotCache cacheId="68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7" l="1"/>
  <c r="I36" i="28"/>
  <c r="I37" i="28"/>
  <c r="I38" i="28"/>
  <c r="I35" i="28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S11" i="7"/>
  <c r="S2" i="7"/>
  <c r="S3" i="7"/>
  <c r="S4" i="7"/>
  <c r="S5" i="7"/>
  <c r="S6" i="7"/>
  <c r="S7" i="7"/>
  <c r="S8" i="7"/>
  <c r="S9" i="7"/>
  <c r="S10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R2" i="7"/>
  <c r="T2" i="7" s="1"/>
  <c r="R3" i="7"/>
  <c r="T3" i="7" s="1"/>
  <c r="R4" i="7"/>
  <c r="T4" i="7" s="1"/>
  <c r="R5" i="7"/>
  <c r="R6" i="7"/>
  <c r="T6" i="7" s="1"/>
  <c r="R7" i="7"/>
  <c r="R8" i="7"/>
  <c r="R9" i="7"/>
  <c r="R10" i="7"/>
  <c r="T10" i="7" s="1"/>
  <c r="R11" i="7"/>
  <c r="R12" i="7"/>
  <c r="T12" i="7" s="1"/>
  <c r="R13" i="7"/>
  <c r="R14" i="7"/>
  <c r="R15" i="7"/>
  <c r="R16" i="7"/>
  <c r="R17" i="7"/>
  <c r="R18" i="7"/>
  <c r="T18" i="7" s="1"/>
  <c r="R19" i="7"/>
  <c r="T19" i="7" s="1"/>
  <c r="R20" i="7"/>
  <c r="T20" i="7" s="1"/>
  <c r="R21" i="7"/>
  <c r="R22" i="7"/>
  <c r="T22" i="7" s="1"/>
  <c r="R23" i="7"/>
  <c r="R24" i="7"/>
  <c r="R25" i="7"/>
  <c r="R26" i="7"/>
  <c r="T26" i="7" s="1"/>
  <c r="R27" i="7"/>
  <c r="T27" i="7" s="1"/>
  <c r="R28" i="7"/>
  <c r="T28" i="7" s="1"/>
  <c r="R29" i="7"/>
  <c r="R30" i="7"/>
  <c r="T30" i="7" s="1"/>
  <c r="R31" i="7"/>
  <c r="R32" i="7"/>
  <c r="R33" i="7"/>
  <c r="R34" i="7"/>
  <c r="T34" i="7" s="1"/>
  <c r="R35" i="7"/>
  <c r="T35" i="7" s="1"/>
  <c r="R36" i="7"/>
  <c r="T36" i="7" s="1"/>
  <c r="R37" i="7"/>
  <c r="R38" i="7"/>
  <c r="T38" i="7" s="1"/>
  <c r="R39" i="7"/>
  <c r="R40" i="7"/>
  <c r="R41" i="7"/>
  <c r="R42" i="7"/>
  <c r="T42" i="7" s="1"/>
  <c r="R43" i="7"/>
  <c r="T43" i="7" s="1"/>
  <c r="R44" i="7"/>
  <c r="T44" i="7" s="1"/>
  <c r="R45" i="7"/>
  <c r="R46" i="7"/>
  <c r="T46" i="7" s="1"/>
  <c r="R47" i="7"/>
  <c r="R48" i="7"/>
  <c r="R49" i="7"/>
  <c r="R50" i="7"/>
  <c r="T50" i="7" s="1"/>
  <c r="R51" i="7"/>
  <c r="T51" i="7" s="1"/>
  <c r="R52" i="7"/>
  <c r="T52" i="7" s="1"/>
  <c r="R53" i="7"/>
  <c r="R54" i="7"/>
  <c r="T54" i="7" s="1"/>
  <c r="R55" i="7"/>
  <c r="R56" i="7"/>
  <c r="R57" i="7"/>
  <c r="R58" i="7"/>
  <c r="T58" i="7" s="1"/>
  <c r="R59" i="7"/>
  <c r="T59" i="7" s="1"/>
  <c r="R60" i="7"/>
  <c r="T60" i="7" s="1"/>
  <c r="R61" i="7"/>
  <c r="R62" i="7"/>
  <c r="T62" i="7" s="1"/>
  <c r="R63" i="7"/>
  <c r="R64" i="7"/>
  <c r="R65" i="7"/>
  <c r="R66" i="7"/>
  <c r="T66" i="7" s="1"/>
  <c r="R67" i="7"/>
  <c r="T67" i="7" s="1"/>
  <c r="R68" i="7"/>
  <c r="T68" i="7" s="1"/>
  <c r="R69" i="7"/>
  <c r="R70" i="7"/>
  <c r="T70" i="7" s="1"/>
  <c r="R71" i="7"/>
  <c r="R72" i="7"/>
  <c r="R73" i="7"/>
  <c r="R74" i="7"/>
  <c r="T74" i="7" s="1"/>
  <c r="R75" i="7"/>
  <c r="T75" i="7" s="1"/>
  <c r="R76" i="7"/>
  <c r="T76" i="7" s="1"/>
  <c r="R77" i="7"/>
  <c r="R78" i="7"/>
  <c r="T78" i="7" s="1"/>
  <c r="R79" i="7"/>
  <c r="R80" i="7"/>
  <c r="R81" i="7"/>
  <c r="R82" i="7"/>
  <c r="T82" i="7" s="1"/>
  <c r="R83" i="7"/>
  <c r="T83" i="7" s="1"/>
  <c r="R84" i="7"/>
  <c r="T84" i="7" s="1"/>
  <c r="R85" i="7"/>
  <c r="R86" i="7"/>
  <c r="T86" i="7" s="1"/>
  <c r="R87" i="7"/>
  <c r="R88" i="7"/>
  <c r="R89" i="7"/>
  <c r="R90" i="7"/>
  <c r="T90" i="7" s="1"/>
  <c r="R91" i="7"/>
  <c r="T91" i="7" s="1"/>
  <c r="R92" i="7"/>
  <c r="T92" i="7" s="1"/>
  <c r="R93" i="7"/>
  <c r="R94" i="7"/>
  <c r="T94" i="7" s="1"/>
  <c r="R95" i="7"/>
  <c r="R96" i="7"/>
  <c r="R97" i="7"/>
  <c r="R98" i="7"/>
  <c r="T98" i="7" s="1"/>
  <c r="R99" i="7"/>
  <c r="T99" i="7" s="1"/>
  <c r="R100" i="7"/>
  <c r="T100" i="7" s="1"/>
  <c r="R101" i="7"/>
  <c r="R102" i="7"/>
  <c r="T102" i="7" s="1"/>
  <c r="R103" i="7"/>
  <c r="R104" i="7"/>
  <c r="R105" i="7"/>
  <c r="R106" i="7"/>
  <c r="T106" i="7" s="1"/>
  <c r="R107" i="7"/>
  <c r="T107" i="7" s="1"/>
  <c r="R108" i="7"/>
  <c r="T108" i="7" s="1"/>
  <c r="R109" i="7"/>
  <c r="R110" i="7"/>
  <c r="T110" i="7" s="1"/>
  <c r="R111" i="7"/>
  <c r="R112" i="7"/>
  <c r="R113" i="7"/>
  <c r="R114" i="7"/>
  <c r="T114" i="7" s="1"/>
  <c r="R115" i="7"/>
  <c r="T115" i="7" s="1"/>
  <c r="R116" i="7"/>
  <c r="T116" i="7" s="1"/>
  <c r="R117" i="7"/>
  <c r="R118" i="7"/>
  <c r="T118" i="7" s="1"/>
  <c r="R119" i="7"/>
  <c r="R120" i="7"/>
  <c r="R121" i="7"/>
  <c r="R122" i="7"/>
  <c r="T122" i="7" s="1"/>
  <c r="R123" i="7"/>
  <c r="T123" i="7" s="1"/>
  <c r="R124" i="7"/>
  <c r="T124" i="7" s="1"/>
  <c r="R125" i="7"/>
  <c r="R126" i="7"/>
  <c r="T126" i="7" s="1"/>
  <c r="R127" i="7"/>
  <c r="R128" i="7"/>
  <c r="R129" i="7"/>
  <c r="R130" i="7"/>
  <c r="T130" i="7" s="1"/>
  <c r="R131" i="7"/>
  <c r="T131" i="7" s="1"/>
  <c r="R132" i="7"/>
  <c r="T132" i="7" s="1"/>
  <c r="R133" i="7"/>
  <c r="R134" i="7"/>
  <c r="T134" i="7" s="1"/>
  <c r="R135" i="7"/>
  <c r="R136" i="7"/>
  <c r="R137" i="7"/>
  <c r="R138" i="7"/>
  <c r="T138" i="7" s="1"/>
  <c r="R139" i="7"/>
  <c r="T139" i="7" s="1"/>
  <c r="R140" i="7"/>
  <c r="T140" i="7" s="1"/>
  <c r="R141" i="7"/>
  <c r="R142" i="7"/>
  <c r="T142" i="7" s="1"/>
  <c r="R143" i="7"/>
  <c r="R144" i="7"/>
  <c r="R145" i="7"/>
  <c r="R146" i="7"/>
  <c r="T146" i="7" s="1"/>
  <c r="R147" i="7"/>
  <c r="T147" i="7" s="1"/>
  <c r="R148" i="7"/>
  <c r="T148" i="7" s="1"/>
  <c r="R149" i="7"/>
  <c r="R150" i="7"/>
  <c r="T150" i="7" s="1"/>
  <c r="R151" i="7"/>
  <c r="R152" i="7"/>
  <c r="R153" i="7"/>
  <c r="R154" i="7"/>
  <c r="T154" i="7" s="1"/>
  <c r="R155" i="7"/>
  <c r="T155" i="7" s="1"/>
  <c r="R156" i="7"/>
  <c r="T156" i="7" s="1"/>
  <c r="R157" i="7"/>
  <c r="R158" i="7"/>
  <c r="T158" i="7" s="1"/>
  <c r="R159" i="7"/>
  <c r="R160" i="7"/>
  <c r="R161" i="7"/>
  <c r="R162" i="7"/>
  <c r="T162" i="7" s="1"/>
  <c r="R163" i="7"/>
  <c r="T163" i="7" s="1"/>
  <c r="R164" i="7"/>
  <c r="T164" i="7" s="1"/>
  <c r="R165" i="7"/>
  <c r="R166" i="7"/>
  <c r="T166" i="7" s="1"/>
  <c r="R167" i="7"/>
  <c r="R168" i="7"/>
  <c r="R169" i="7"/>
  <c r="R170" i="7"/>
  <c r="T170" i="7" s="1"/>
  <c r="R171" i="7"/>
  <c r="T171" i="7" s="1"/>
  <c r="R172" i="7"/>
  <c r="T172" i="7" s="1"/>
  <c r="R173" i="7"/>
  <c r="R174" i="7"/>
  <c r="T174" i="7" s="1"/>
  <c r="R175" i="7"/>
  <c r="R176" i="7"/>
  <c r="R177" i="7"/>
  <c r="R178" i="7"/>
  <c r="T178" i="7" s="1"/>
  <c r="R179" i="7"/>
  <c r="T179" i="7" s="1"/>
  <c r="R180" i="7"/>
  <c r="T180" i="7" s="1"/>
  <c r="R181" i="7"/>
  <c r="R182" i="7"/>
  <c r="T182" i="7" s="1"/>
  <c r="R183" i="7"/>
  <c r="R184" i="7"/>
  <c r="R185" i="7"/>
  <c r="R186" i="7"/>
  <c r="T186" i="7" s="1"/>
  <c r="R187" i="7"/>
  <c r="T187" i="7" s="1"/>
  <c r="R188" i="7"/>
  <c r="T188" i="7" s="1"/>
  <c r="R189" i="7"/>
  <c r="R190" i="7"/>
  <c r="T190" i="7" s="1"/>
  <c r="R191" i="7"/>
  <c r="R192" i="7"/>
  <c r="R193" i="7"/>
  <c r="R194" i="7"/>
  <c r="T194" i="7" s="1"/>
  <c r="R195" i="7"/>
  <c r="T195" i="7" s="1"/>
  <c r="R196" i="7"/>
  <c r="T196" i="7" s="1"/>
  <c r="R197" i="7"/>
  <c r="R198" i="7"/>
  <c r="T198" i="7" s="1"/>
  <c r="R199" i="7"/>
  <c r="R200" i="7"/>
  <c r="R201" i="7"/>
  <c r="R202" i="7"/>
  <c r="T202" i="7" s="1"/>
  <c r="R203" i="7"/>
  <c r="T203" i="7" s="1"/>
  <c r="R204" i="7"/>
  <c r="T204" i="7" s="1"/>
  <c r="R205" i="7"/>
  <c r="R206" i="7"/>
  <c r="T206" i="7" s="1"/>
  <c r="R207" i="7"/>
  <c r="R208" i="7"/>
  <c r="R209" i="7"/>
  <c r="R210" i="7"/>
  <c r="T210" i="7" s="1"/>
  <c r="R211" i="7"/>
  <c r="T211" i="7" s="1"/>
  <c r="R212" i="7"/>
  <c r="T212" i="7" s="1"/>
  <c r="R213" i="7"/>
  <c r="R214" i="7"/>
  <c r="T214" i="7" s="1"/>
  <c r="R215" i="7"/>
  <c r="R216" i="7"/>
  <c r="R217" i="7"/>
  <c r="R218" i="7"/>
  <c r="T218" i="7" s="1"/>
  <c r="R219" i="7"/>
  <c r="T219" i="7" s="1"/>
  <c r="R220" i="7"/>
  <c r="T220" i="7" s="1"/>
  <c r="R221" i="7"/>
  <c r="R222" i="7"/>
  <c r="T222" i="7" s="1"/>
  <c r="R223" i="7"/>
  <c r="R224" i="7"/>
  <c r="R225" i="7"/>
  <c r="R226" i="7"/>
  <c r="T226" i="7" s="1"/>
  <c r="R227" i="7"/>
  <c r="T227" i="7" s="1"/>
  <c r="R228" i="7"/>
  <c r="T228" i="7" s="1"/>
  <c r="R229" i="7"/>
  <c r="R230" i="7"/>
  <c r="T230" i="7" s="1"/>
  <c r="R231" i="7"/>
  <c r="R232" i="7"/>
  <c r="R233" i="7"/>
  <c r="R234" i="7"/>
  <c r="T234" i="7" s="1"/>
  <c r="R235" i="7"/>
  <c r="T235" i="7" s="1"/>
  <c r="R236" i="7"/>
  <c r="T236" i="7" s="1"/>
  <c r="R237" i="7"/>
  <c r="R238" i="7"/>
  <c r="T238" i="7" s="1"/>
  <c r="R239" i="7"/>
  <c r="R240" i="7"/>
  <c r="R241" i="7"/>
  <c r="R242" i="7"/>
  <c r="T242" i="7" s="1"/>
  <c r="R243" i="7"/>
  <c r="T243" i="7" s="1"/>
  <c r="R244" i="7"/>
  <c r="T244" i="7" s="1"/>
  <c r="R245" i="7"/>
  <c r="R246" i="7"/>
  <c r="T246" i="7" s="1"/>
  <c r="R247" i="7"/>
  <c r="R248" i="7"/>
  <c r="R249" i="7"/>
  <c r="R250" i="7"/>
  <c r="T250" i="7" s="1"/>
  <c r="R251" i="7"/>
  <c r="T251" i="7" s="1"/>
  <c r="R252" i="7"/>
  <c r="T252" i="7" s="1"/>
  <c r="R253" i="7"/>
  <c r="R254" i="7"/>
  <c r="T254" i="7" s="1"/>
  <c r="R255" i="7"/>
  <c r="R256" i="7"/>
  <c r="R257" i="7"/>
  <c r="R258" i="7"/>
  <c r="T258" i="7" s="1"/>
  <c r="R259" i="7"/>
  <c r="T259" i="7" s="1"/>
  <c r="R260" i="7"/>
  <c r="T260" i="7" s="1"/>
  <c r="R261" i="7"/>
  <c r="R262" i="7"/>
  <c r="T262" i="7" s="1"/>
  <c r="R263" i="7"/>
  <c r="R264" i="7"/>
  <c r="R265" i="7"/>
  <c r="R266" i="7"/>
  <c r="T266" i="7" s="1"/>
  <c r="R267" i="7"/>
  <c r="T267" i="7" s="1"/>
  <c r="R268" i="7"/>
  <c r="T268" i="7" s="1"/>
  <c r="R269" i="7"/>
  <c r="R270" i="7"/>
  <c r="T270" i="7" s="1"/>
  <c r="R271" i="7"/>
  <c r="R272" i="7"/>
  <c r="R273" i="7"/>
  <c r="R274" i="7"/>
  <c r="T274" i="7" s="1"/>
  <c r="R275" i="7"/>
  <c r="T275" i="7" s="1"/>
  <c r="R276" i="7"/>
  <c r="T276" i="7" s="1"/>
  <c r="R277" i="7"/>
  <c r="R278" i="7"/>
  <c r="T278" i="7" s="1"/>
  <c r="R279" i="7"/>
  <c r="R280" i="7"/>
  <c r="R281" i="7"/>
  <c r="R282" i="7"/>
  <c r="T282" i="7" s="1"/>
  <c r="R283" i="7"/>
  <c r="T283" i="7" s="1"/>
  <c r="R284" i="7"/>
  <c r="T284" i="7" s="1"/>
  <c r="R285" i="7"/>
  <c r="R286" i="7"/>
  <c r="T286" i="7" s="1"/>
  <c r="R287" i="7"/>
  <c r="R288" i="7"/>
  <c r="R289" i="7"/>
  <c r="R290" i="7"/>
  <c r="T290" i="7" s="1"/>
  <c r="R291" i="7"/>
  <c r="T291" i="7" s="1"/>
  <c r="R292" i="7"/>
  <c r="T292" i="7" s="1"/>
  <c r="R293" i="7"/>
  <c r="R294" i="7"/>
  <c r="T294" i="7" s="1"/>
  <c r="R295" i="7"/>
  <c r="R296" i="7"/>
  <c r="R297" i="7"/>
  <c r="R298" i="7"/>
  <c r="T298" i="7" s="1"/>
  <c r="R299" i="7"/>
  <c r="T299" i="7" s="1"/>
  <c r="R300" i="7"/>
  <c r="T300" i="7" s="1"/>
  <c r="R301" i="7"/>
  <c r="H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Q2" i="7"/>
  <c r="T14" i="7" l="1"/>
  <c r="T11" i="7"/>
  <c r="T297" i="7"/>
  <c r="T289" i="7"/>
  <c r="T281" i="7"/>
  <c r="T273" i="7"/>
  <c r="T265" i="7"/>
  <c r="T257" i="7"/>
  <c r="T249" i="7"/>
  <c r="T241" i="7"/>
  <c r="T233" i="7"/>
  <c r="T225" i="7"/>
  <c r="T217" i="7"/>
  <c r="T209" i="7"/>
  <c r="T201" i="7"/>
  <c r="T193" i="7"/>
  <c r="T185" i="7"/>
  <c r="T177" i="7"/>
  <c r="T169" i="7"/>
  <c r="T161" i="7"/>
  <c r="T153" i="7"/>
  <c r="T145" i="7"/>
  <c r="T137" i="7"/>
  <c r="T129" i="7"/>
  <c r="T121" i="7"/>
  <c r="T113" i="7"/>
  <c r="T105" i="7"/>
  <c r="T97" i="7"/>
  <c r="T89" i="7"/>
  <c r="T81" i="7"/>
  <c r="T73" i="7"/>
  <c r="T65" i="7"/>
  <c r="T57" i="7"/>
  <c r="T49" i="7"/>
  <c r="T41" i="7"/>
  <c r="T33" i="7"/>
  <c r="T25" i="7"/>
  <c r="T17" i="7"/>
  <c r="T9" i="7"/>
  <c r="T296" i="7"/>
  <c r="T288" i="7"/>
  <c r="T280" i="7"/>
  <c r="T272" i="7"/>
  <c r="T264" i="7"/>
  <c r="T256" i="7"/>
  <c r="T248" i="7"/>
  <c r="T240" i="7"/>
  <c r="T232" i="7"/>
  <c r="T224" i="7"/>
  <c r="T216" i="7"/>
  <c r="T208" i="7"/>
  <c r="T200" i="7"/>
  <c r="T192" i="7"/>
  <c r="T184" i="7"/>
  <c r="T176" i="7"/>
  <c r="T168" i="7"/>
  <c r="T160" i="7"/>
  <c r="T152" i="7"/>
  <c r="T144" i="7"/>
  <c r="T136" i="7"/>
  <c r="T128" i="7"/>
  <c r="T120" i="7"/>
  <c r="T112" i="7"/>
  <c r="T104" i="7"/>
  <c r="T96" i="7"/>
  <c r="T88" i="7"/>
  <c r="T80" i="7"/>
  <c r="T72" i="7"/>
  <c r="T64" i="7"/>
  <c r="T56" i="7"/>
  <c r="T48" i="7"/>
  <c r="T40" i="7"/>
  <c r="T32" i="7"/>
  <c r="T24" i="7"/>
  <c r="T16" i="7"/>
  <c r="T8" i="7"/>
  <c r="T295" i="7"/>
  <c r="T287" i="7"/>
  <c r="T279" i="7"/>
  <c r="T271" i="7"/>
  <c r="T263" i="7"/>
  <c r="T255" i="7"/>
  <c r="T247" i="7"/>
  <c r="T239" i="7"/>
  <c r="T231" i="7"/>
  <c r="T223" i="7"/>
  <c r="T215" i="7"/>
  <c r="T207" i="7"/>
  <c r="T199" i="7"/>
  <c r="T191" i="7"/>
  <c r="T183" i="7"/>
  <c r="T175" i="7"/>
  <c r="T167" i="7"/>
  <c r="T159" i="7"/>
  <c r="T151" i="7"/>
  <c r="T143" i="7"/>
  <c r="T135" i="7"/>
  <c r="T127" i="7"/>
  <c r="T119" i="7"/>
  <c r="T111" i="7"/>
  <c r="T103" i="7"/>
  <c r="T95" i="7"/>
  <c r="T87" i="7"/>
  <c r="T79" i="7"/>
  <c r="T71" i="7"/>
  <c r="T63" i="7"/>
  <c r="T55" i="7"/>
  <c r="T47" i="7"/>
  <c r="T39" i="7"/>
  <c r="T31" i="7"/>
  <c r="T23" i="7"/>
  <c r="T15" i="7"/>
  <c r="T7" i="7"/>
  <c r="T301" i="7"/>
  <c r="T293" i="7"/>
  <c r="T285" i="7"/>
  <c r="T277" i="7"/>
  <c r="T269" i="7"/>
  <c r="T261" i="7"/>
  <c r="T253" i="7"/>
  <c r="T245" i="7"/>
  <c r="T237" i="7"/>
  <c r="T229" i="7"/>
  <c r="T221" i="7"/>
  <c r="T213" i="7"/>
  <c r="T205" i="7"/>
  <c r="T197" i="7"/>
  <c r="T189" i="7"/>
  <c r="T181" i="7"/>
  <c r="T173" i="7"/>
  <c r="T165" i="7"/>
  <c r="T157" i="7"/>
  <c r="T149" i="7"/>
  <c r="T141" i="7"/>
  <c r="T133" i="7"/>
  <c r="T125" i="7"/>
  <c r="T117" i="7"/>
  <c r="T109" i="7"/>
  <c r="T101" i="7"/>
  <c r="T93" i="7"/>
  <c r="T85" i="7"/>
  <c r="T77" i="7"/>
  <c r="T69" i="7"/>
  <c r="T61" i="7"/>
  <c r="T53" i="7"/>
  <c r="T45" i="7"/>
  <c r="T37" i="7"/>
  <c r="T29" i="7"/>
  <c r="T21" i="7"/>
  <c r="T13" i="7"/>
  <c r="T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1D7A5A-8A8B-411A-BDD7-B7BFF8B1588D}" keepAlive="1" name="Query - Campaign Data(1)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D4550610-D788-43E2-81EC-F67A0E76DEEE}" keepAlive="1" name="Query - Engagment Summary(1)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4EC5F5C1-5AB8-430E-B06C-3D82792E922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</connections>
</file>

<file path=xl/sharedStrings.xml><?xml version="1.0" encoding="utf-8"?>
<sst xmlns="http://schemas.openxmlformats.org/spreadsheetml/2006/main" count="4500" uniqueCount="637">
  <si>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</si>
  <si>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</si>
  <si>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</si>
  <si>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</si>
  <si>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</si>
  <si>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</si>
  <si>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</si>
  <si>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</si>
  <si>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</si>
  <si>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</si>
  <si>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</si>
  <si>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</si>
  <si>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</si>
  <si>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</si>
  <si>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</si>
  <si>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</si>
  <si>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</si>
  <si>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</si>
  <si>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</si>
  <si>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</si>
  <si>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</si>
  <si>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</si>
  <si>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</si>
  <si>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</si>
  <si>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</si>
  <si>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</si>
  <si>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</si>
  <si>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</si>
  <si>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</si>
  <si>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</si>
  <si>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</si>
  <si>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</si>
  <si>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</si>
  <si>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</si>
  <si>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</si>
  <si>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 xml:space="preserve">video link 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</si>
  <si>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</si>
  <si>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</si>
  <si>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</si>
  <si>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</si>
  <si>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</si>
  <si>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</si>
  <si>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</si>
  <si>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</si>
  <si>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</si>
  <si>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</si>
  <si>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</si>
  <si>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</si>
  <si>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</si>
  <si>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</si>
  <si>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</si>
  <si>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</si>
  <si>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</si>
  <si>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</si>
  <si>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</si>
  <si>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</si>
  <si>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</si>
  <si>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</si>
  <si>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</si>
  <si>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</si>
  <si>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</si>
  <si>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</si>
  <si>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</si>
  <si>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</si>
  <si>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</si>
  <si>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</si>
  <si>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</si>
  <si>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</si>
  <si>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</si>
  <si>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</si>
  <si>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</si>
  <si>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</si>
  <si>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</si>
  <si>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</si>
  <si>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</si>
  <si>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</si>
  <si>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</si>
  <si>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</si>
  <si>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</si>
  <si>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</si>
  <si>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</si>
  <si>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</si>
  <si>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</si>
  <si>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</si>
  <si>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</si>
  <si>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</si>
  <si>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</si>
  <si>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</si>
  <si>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</si>
  <si>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</si>
  <si>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</si>
  <si>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</si>
  <si>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</si>
  <si>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</si>
  <si>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</si>
  <si>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</si>
  <si>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</si>
  <si>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</si>
  <si>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</si>
  <si>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</si>
  <si>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</si>
  <si>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</si>
  <si>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</si>
  <si>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</si>
  <si>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</si>
  <si>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</si>
  <si>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</si>
  <si>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</si>
  <si>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</si>
  <si>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</si>
  <si>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</si>
  <si>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</si>
  <si>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</si>
  <si>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</si>
  <si>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</si>
  <si>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</si>
  <si>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</si>
  <si>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</si>
  <si>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</si>
  <si>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</si>
  <si>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</si>
  <si>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</si>
  <si>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</si>
  <si>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</si>
  <si>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</si>
  <si>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</si>
  <si>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</si>
  <si>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</si>
  <si>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</si>
  <si>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</si>
  <si>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</si>
  <si>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</si>
  <si>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</si>
  <si>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</si>
  <si>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</si>
  <si>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</si>
  <si>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</si>
  <si>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</si>
  <si>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</si>
  <si>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</si>
  <si>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</si>
  <si>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</si>
  <si>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</si>
  <si>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</si>
  <si>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</si>
  <si>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</si>
  <si>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</si>
  <si>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</si>
  <si>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</si>
  <si>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</si>
  <si>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</si>
  <si>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</si>
  <si>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</si>
  <si>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</si>
  <si>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</si>
  <si>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</si>
  <si>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</si>
  <si>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</si>
  <si>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</si>
  <si>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</si>
  <si>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</si>
  <si>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</si>
  <si>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</si>
  <si>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</si>
  <si>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</si>
  <si>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</si>
  <si>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</si>
  <si>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</si>
  <si>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</si>
  <si>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</si>
  <si>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</si>
  <si>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</si>
  <si>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</si>
  <si>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</si>
  <si>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</si>
  <si>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</si>
  <si>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</si>
  <si>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</si>
  <si>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</si>
  <si>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</si>
  <si>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</si>
  <si>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</si>
  <si>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</si>
  <si>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</si>
  <si>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</si>
  <si>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</si>
  <si>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</si>
  <si>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</si>
  <si>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</si>
  <si>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</si>
  <si>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</si>
  <si>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</si>
  <si>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</si>
  <si>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</si>
  <si>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</si>
  <si>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</si>
  <si>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</si>
  <si>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</si>
  <si>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</si>
  <si>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</si>
  <si>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</si>
  <si>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</si>
  <si>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</si>
  <si>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</si>
  <si>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</si>
  <si>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</si>
  <si>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</si>
  <si>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</si>
  <si>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</si>
  <si>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</si>
  <si>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</si>
  <si>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</si>
  <si>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</si>
  <si>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</si>
  <si>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</si>
  <si>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</si>
  <si>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</si>
  <si>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</si>
  <si>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</si>
  <si>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</si>
  <si>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</si>
  <si>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</si>
  <si>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</si>
  <si>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</si>
  <si>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</si>
  <si>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</si>
  <si>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</si>
  <si>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</si>
  <si>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</si>
  <si>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</si>
  <si>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</si>
  <si>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</si>
  <si>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</si>
  <si>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</si>
  <si>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</si>
  <si>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</si>
  <si>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</si>
  <si>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</si>
  <si>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</si>
  <si>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</si>
  <si>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</si>
  <si>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</si>
  <si>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</si>
  <si>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</si>
  <si>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</si>
  <si>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</si>
  <si>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</si>
  <si>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</si>
  <si>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</si>
  <si>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</si>
  <si>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</si>
  <si>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</si>
  <si>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</si>
  <si>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</si>
  <si>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</si>
  <si>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</si>
  <si>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</si>
  <si>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</si>
  <si>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</si>
  <si>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</si>
  <si>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</si>
  <si>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</si>
  <si>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</si>
  <si>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</si>
  <si>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</si>
  <si>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</si>
  <si>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</si>
  <si>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</si>
  <si>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</si>
  <si>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</si>
  <si>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</si>
  <si>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</si>
  <si>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</si>
  <si>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</si>
  <si>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</si>
  <si>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</si>
  <si>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</si>
  <si>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</si>
  <si>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</si>
  <si>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</si>
  <si>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</si>
  <si>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</si>
  <si>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</si>
  <si>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</si>
  <si>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</si>
  <si>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</si>
  <si>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</si>
  <si>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</si>
  <si>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</si>
  <si>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</si>
  <si>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</si>
  <si>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</si>
  <si>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</si>
  <si>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</si>
  <si>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</si>
  <si>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</si>
  <si>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</si>
  <si>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</si>
  <si>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</si>
  <si>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</si>
  <si>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</si>
  <si>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</si>
  <si>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</si>
  <si>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</si>
  <si>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</si>
  <si>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</si>
  <si>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</si>
  <si>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</si>
  <si>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</si>
  <si>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</si>
  <si>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</si>
  <si>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</si>
  <si>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</si>
  <si>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</si>
  <si>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</si>
  <si>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</si>
  <si>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</si>
  <si>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</si>
  <si>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</si>
  <si>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</si>
  <si>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</si>
  <si>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</si>
  <si>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</si>
  <si>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</si>
  <si>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</si>
  <si>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</si>
  <si>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</si>
  <si>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</si>
  <si>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</si>
  <si>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</si>
  <si>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</si>
  <si>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</si>
  <si>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</si>
  <si>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</si>
  <si>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</si>
  <si>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</si>
  <si>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</si>
  <si>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</si>
  <si>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</si>
  <si>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</si>
  <si>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</si>
  <si>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</si>
  <si>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</si>
  <si>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</si>
  <si>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</si>
  <si>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</si>
  <si>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</si>
  <si>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</si>
  <si>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</si>
  <si>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</si>
  <si>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</si>
  <si>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</si>
  <si>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</si>
  <si>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</si>
  <si>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</si>
  <si>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</si>
  <si>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</si>
  <si>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</si>
  <si>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</si>
  <si>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</si>
  <si>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</si>
  <si>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</si>
  <si>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</si>
  <si>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</si>
  <si>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</si>
  <si>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</si>
  <si>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</si>
  <si>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</si>
  <si>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</si>
  <si>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</si>
  <si>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</si>
  <si>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</si>
  <si>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</si>
  <si>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</si>
  <si>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</si>
  <si>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</si>
  <si>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</si>
  <si>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</si>
  <si>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</si>
  <si>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</si>
  <si>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</si>
  <si>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</si>
  <si>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</si>
  <si>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</si>
  <si>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</si>
  <si>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</si>
  <si>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</si>
  <si>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</si>
  <si>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</si>
  <si>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</si>
  <si>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</si>
  <si>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</si>
  <si>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</si>
  <si>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</si>
  <si>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</si>
  <si>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</si>
  <si>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</si>
  <si>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</si>
  <si>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</si>
  <si>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</si>
  <si>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</si>
  <si>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</si>
  <si>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</si>
  <si>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</si>
  <si>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</si>
  <si>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</si>
  <si>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</si>
  <si>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</si>
  <si>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</si>
  <si>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</si>
  <si>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</si>
  <si>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</si>
  <si>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</si>
  <si>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</si>
  <si>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</si>
  <si>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</si>
  <si>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</si>
  <si>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</si>
  <si>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</si>
  <si>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</si>
  <si>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</si>
  <si>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</si>
  <si>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</si>
  <si>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</si>
  <si>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</si>
  <si>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</si>
  <si>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</si>
  <si>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</si>
  <si>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</si>
  <si>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</si>
  <si>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</si>
  <si>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</si>
  <si>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</si>
  <si>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</si>
  <si>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</si>
  <si>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</si>
  <si>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</si>
  <si>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</si>
  <si>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</si>
  <si>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</si>
  <si>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</si>
  <si>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</si>
  <si>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</si>
  <si>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</si>
  <si>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</si>
  <si>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</si>
  <si>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</si>
  <si>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</si>
  <si>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</si>
  <si>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</si>
  <si>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</si>
  <si>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</si>
  <si>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</si>
  <si>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</si>
  <si>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</si>
  <si>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</si>
  <si>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</si>
  <si>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</si>
  <si>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</si>
  <si>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</si>
  <si>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</si>
  <si>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</si>
  <si>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</si>
  <si>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</si>
  <si>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</si>
  <si>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</si>
  <si>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</si>
  <si>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</si>
  <si>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</si>
  <si>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</si>
  <si>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</si>
  <si>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</si>
  <si>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</si>
  <si>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</si>
  <si>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</si>
  <si>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</si>
  <si>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</si>
  <si>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</si>
  <si>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</si>
  <si>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</si>
  <si>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</si>
  <si>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</si>
  <si>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</si>
  <si>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</si>
  <si>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</si>
  <si>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</si>
  <si>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</si>
  <si>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</si>
  <si>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</si>
  <si>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</si>
  <si>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</si>
  <si>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</si>
  <si>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</si>
  <si>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</si>
  <si>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</si>
  <si>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</si>
  <si>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</si>
  <si>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</si>
  <si>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</si>
  <si>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</si>
  <si>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</si>
  <si>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</si>
  <si>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</si>
  <si>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</si>
  <si>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</si>
  <si>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</si>
  <si>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</si>
  <si>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</si>
  <si>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</si>
  <si>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</si>
  <si>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</si>
  <si>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</si>
  <si>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</si>
  <si>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</si>
  <si>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</si>
  <si>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</si>
  <si>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</si>
  <si>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</si>
  <si>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</si>
  <si>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</si>
  <si>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</si>
  <si>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</si>
  <si>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</si>
  <si>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</si>
  <si>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</si>
  <si>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</si>
  <si>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</si>
  <si>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</si>
  <si>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</si>
  <si>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</si>
  <si>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</si>
  <si>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</si>
  <si>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</si>
  <si>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</si>
  <si>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</si>
  <si>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</si>
  <si>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</si>
  <si>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</si>
  <si>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</si>
  <si>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</si>
  <si>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</si>
  <si>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</si>
  <si>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</si>
  <si>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</si>
  <si>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</si>
  <si>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</si>
  <si>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</si>
  <si>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</si>
  <si>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</si>
  <si>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</si>
  <si>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</si>
  <si>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</si>
  <si>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</si>
  <si>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</si>
  <si>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</si>
  <si>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</si>
  <si>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</si>
  <si>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</si>
  <si>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</si>
  <si>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</si>
  <si>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</si>
  <si>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</si>
  <si>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</si>
  <si>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Follower_Growth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</si>
  <si>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</si>
  <si>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</si>
  <si>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</si>
  <si>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</si>
  <si>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</si>
  <si>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</si>
  <si>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</si>
  <si>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</si>
  <si>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</si>
  <si>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</si>
  <si>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</si>
  <si>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</si>
  <si>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</si>
  <si>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Used.1</t>
  </si>
  <si>
    <t>Hashtags Used.2</t>
  </si>
  <si>
    <t>Hashtags</t>
  </si>
  <si>
    <t>Total_Engagement</t>
  </si>
  <si>
    <t>Campaign_Phase</t>
  </si>
  <si>
    <t>Task 1</t>
  </si>
  <si>
    <t>MyntraSale</t>
  </si>
  <si>
    <t>MyntraFashion</t>
  </si>
  <si>
    <t>StyleWithMyntra</t>
  </si>
  <si>
    <t>MyntraTrend</t>
  </si>
  <si>
    <r>
      <rPr>
        <b/>
        <sz val="11"/>
        <color rgb="FF4472C4"/>
        <rFont val="Calibri"/>
        <scheme val="minor"/>
      </rPr>
      <t xml:space="preserve">Observed:
</t>
    </r>
    <r>
      <rPr>
        <sz val="11"/>
        <color rgb="FF4472C4"/>
        <rFont val="Calibri"/>
        <scheme val="minor"/>
      </rPr>
      <t xml:space="preserve">Duplicate posts
Inconsistent date format
Mixed platform naming
Hashtags bundled together
</t>
    </r>
    <r>
      <rPr>
        <b/>
        <sz val="11"/>
        <color rgb="FF4472C4"/>
        <rFont val="Calibri"/>
        <scheme val="minor"/>
      </rPr>
      <t xml:space="preserve">Actions taken:
</t>
    </r>
    <r>
      <rPr>
        <sz val="11"/>
        <color rgb="FF4472C4"/>
        <rFont val="Calibri"/>
        <scheme val="minor"/>
      </rPr>
      <t xml:space="preserve">Removed duplicates
Standardized formats
Cleaned numeric fields
Split hashtags into individual tags
</t>
    </r>
    <r>
      <rPr>
        <b/>
        <sz val="11"/>
        <color rgb="FF4472C4"/>
        <rFont val="Calibri"/>
        <scheme val="minor"/>
      </rPr>
      <t xml:space="preserve">Result:
</t>
    </r>
    <r>
      <rPr>
        <sz val="11"/>
        <color rgb="FF4472C4"/>
        <rFont val="Calibri"/>
        <scheme val="minor"/>
      </rPr>
      <t>A trustworthy dataset ready for analysis</t>
    </r>
  </si>
  <si>
    <t>FashionDeals</t>
  </si>
  <si>
    <t xml:space="preserve">  Task- 2</t>
  </si>
  <si>
    <t xml:space="preserve">Task -2 </t>
  </si>
  <si>
    <t>Top 10 Engagment Post</t>
  </si>
  <si>
    <t>Total Likes ,Shares ,comments by content Type and Platform</t>
  </si>
  <si>
    <t>top 10</t>
  </si>
  <si>
    <t>Playform</t>
  </si>
  <si>
    <t>Total Sum of Likes</t>
  </si>
  <si>
    <t>Total Sum of Shares</t>
  </si>
  <si>
    <t>Total Sum of Comments</t>
  </si>
  <si>
    <t>Sum of Likes</t>
  </si>
  <si>
    <t>Sum of Shares</t>
  </si>
  <si>
    <t>Sum of Comments</t>
  </si>
  <si>
    <t>Grand Total</t>
  </si>
  <si>
    <t>Avg Clicks</t>
  </si>
  <si>
    <t>Average Engagement rate</t>
  </si>
  <si>
    <t>Average of Clicks</t>
  </si>
  <si>
    <t xml:space="preserve">  Task- 3</t>
  </si>
  <si>
    <t>PLATFORM</t>
  </si>
  <si>
    <t>Engagement_Rat</t>
  </si>
  <si>
    <t>platform</t>
  </si>
  <si>
    <t>Followers_Growth</t>
  </si>
  <si>
    <t>Average of Follower_Growth</t>
  </si>
  <si>
    <t>Average of Ad_Spend</t>
  </si>
  <si>
    <t>Myntra should follow a multi-platform strategy with Instagram as the primary engagement channel, supported by  Twitter, YouTube and Facebook based on platform strengths.</t>
  </si>
  <si>
    <t xml:space="preserve">  Task- 4</t>
  </si>
  <si>
    <t>Most Frq Used Hastags</t>
  </si>
  <si>
    <t>AVERAGE PERFORMANCE OF POSTS CONTAINING EACH HASHTAG</t>
  </si>
  <si>
    <t>Hashtags Used 1</t>
  </si>
  <si>
    <t>Count of Hashtags</t>
  </si>
  <si>
    <t>Average of Engagement_Rate</t>
  </si>
  <si>
    <t>Content Peformance</t>
  </si>
  <si>
    <t>Average of Likes</t>
  </si>
  <si>
    <t>Content Type Priorities Per Platform</t>
  </si>
  <si>
    <t xml:space="preserve">  Task- 5</t>
  </si>
  <si>
    <t>Engagement uplift during vs. before campaigns</t>
  </si>
  <si>
    <t>Average of Impressions</t>
  </si>
  <si>
    <t>Sum of Clicks</t>
  </si>
  <si>
    <t>Sum of Impressions</t>
  </si>
  <si>
    <t>Before</t>
  </si>
  <si>
    <t>During</t>
  </si>
  <si>
    <t>Column Labels</t>
  </si>
  <si>
    <t>Engagement Uplift</t>
  </si>
  <si>
    <t>Campagin_Name</t>
  </si>
  <si>
    <t>Highest ROI</t>
  </si>
  <si>
    <t xml:space="preserve">  Task- 6</t>
  </si>
  <si>
    <t>Weekly growth per platform</t>
  </si>
  <si>
    <t>Sum of Follower_Growth</t>
  </si>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</sst>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%"/>
  </numFmts>
  <fonts count="3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36"/>
      <color theme="1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ptos Narrow"/>
      <charset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242424"/>
      <name val="Aptos Narrow"/>
      <charset val="1"/>
    </font>
    <font>
      <b/>
      <sz val="12"/>
      <color rgb="FF242424"/>
      <name val="Aptos Narrow"/>
      <charset val="1"/>
    </font>
    <font>
      <b/>
      <sz val="12"/>
      <color rgb="FF000000"/>
      <name val="Calibri"/>
      <scheme val="minor"/>
    </font>
    <font>
      <b/>
      <sz val="12"/>
      <color theme="1"/>
      <name val="Calibri"/>
      <charset val="1"/>
    </font>
    <font>
      <b/>
      <sz val="72"/>
      <color theme="8"/>
      <name val="Calibri"/>
      <family val="2"/>
      <scheme val="minor"/>
    </font>
    <font>
      <b/>
      <sz val="36"/>
      <color theme="8"/>
      <name val="Calibri"/>
      <scheme val="minor"/>
    </font>
    <font>
      <sz val="36"/>
      <color theme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72"/>
      <color theme="8"/>
      <name val="Calibri"/>
      <scheme val="minor"/>
    </font>
    <font>
      <b/>
      <sz val="11"/>
      <color rgb="FF4472C4"/>
      <name val="Calibri"/>
      <scheme val="minor"/>
    </font>
    <font>
      <sz val="11"/>
      <color rgb="FF4472C4"/>
      <name val="Calibri"/>
      <scheme val="minor"/>
    </font>
    <font>
      <u/>
      <sz val="11"/>
      <color theme="10"/>
      <name val="Calibri"/>
      <family val="2"/>
      <scheme val="minor"/>
    </font>
    <font>
      <b/>
      <u/>
      <sz val="7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indent="1"/>
    </xf>
    <xf numFmtId="0" fontId="7" fillId="0" borderId="0" xfId="0" applyFont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8" fillId="0" borderId="1" xfId="0" applyFont="1" applyBorder="1" applyAlignment="1">
      <alignment horizontal="center" vertical="top"/>
    </xf>
    <xf numFmtId="10" fontId="11" fillId="0" borderId="0" xfId="0" applyNumberFormat="1" applyFont="1"/>
    <xf numFmtId="0" fontId="13" fillId="0" borderId="0" xfId="0" applyFont="1"/>
    <xf numFmtId="14" fontId="13" fillId="0" borderId="0" xfId="0" applyNumberFormat="1" applyFont="1"/>
    <xf numFmtId="10" fontId="13" fillId="0" borderId="0" xfId="1" applyNumberFormat="1" applyFont="1"/>
    <xf numFmtId="0" fontId="6" fillId="0" borderId="0" xfId="0" applyFont="1" applyAlignment="1">
      <alignment wrapText="1"/>
    </xf>
    <xf numFmtId="0" fontId="0" fillId="3" borderId="0" xfId="0" applyFill="1"/>
    <xf numFmtId="164" fontId="0" fillId="5" borderId="0" xfId="0" applyNumberFormat="1" applyFill="1"/>
    <xf numFmtId="0" fontId="17" fillId="3" borderId="0" xfId="0" applyFont="1" applyFill="1"/>
    <xf numFmtId="0" fontId="19" fillId="3" borderId="0" xfId="0" applyFont="1" applyFill="1"/>
    <xf numFmtId="0" fontId="18" fillId="3" borderId="0" xfId="0" applyFont="1" applyFill="1" applyAlignment="1">
      <alignment wrapText="1"/>
    </xf>
    <xf numFmtId="0" fontId="0" fillId="5" borderId="0" xfId="0" applyFill="1"/>
    <xf numFmtId="0" fontId="10" fillId="3" borderId="0" xfId="0" applyFont="1" applyFill="1"/>
    <xf numFmtId="0" fontId="9" fillId="4" borderId="0" xfId="0" applyNumberFormat="1" applyFont="1" applyFill="1"/>
    <xf numFmtId="0" fontId="0" fillId="5" borderId="0" xfId="0" applyNumberFormat="1" applyFont="1" applyFill="1"/>
    <xf numFmtId="0" fontId="20" fillId="2" borderId="0" xfId="0" applyFont="1" applyFill="1"/>
    <xf numFmtId="0" fontId="15" fillId="3" borderId="0" xfId="0" applyFont="1" applyFill="1"/>
    <xf numFmtId="0" fontId="5" fillId="3" borderId="0" xfId="0" applyFont="1" applyFill="1"/>
    <xf numFmtId="0" fontId="0" fillId="5" borderId="0" xfId="0" applyFont="1" applyFill="1"/>
    <xf numFmtId="0" fontId="12" fillId="5" borderId="0" xfId="0" applyFont="1" applyFill="1" applyBorder="1" applyAlignment="1">
      <alignment vertical="top"/>
    </xf>
    <xf numFmtId="0" fontId="0" fillId="5" borderId="0" xfId="0" applyFill="1" applyBorder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17" fillId="6" borderId="0" xfId="0" applyFont="1" applyFill="1"/>
    <xf numFmtId="14" fontId="0" fillId="6" borderId="0" xfId="0" applyNumberFormat="1" applyFill="1" applyAlignment="1">
      <alignment horizontal="left"/>
    </xf>
    <xf numFmtId="0" fontId="25" fillId="7" borderId="0" xfId="0" applyFont="1" applyFill="1"/>
    <xf numFmtId="0" fontId="0" fillId="8" borderId="0" xfId="0" applyFill="1"/>
    <xf numFmtId="0" fontId="0" fillId="8" borderId="0" xfId="0" applyNumberFormat="1" applyFill="1"/>
    <xf numFmtId="0" fontId="14" fillId="3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31" fillId="0" borderId="0" xfId="2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3" fillId="5" borderId="1" xfId="0" applyFont="1" applyFill="1" applyBorder="1" applyAlignment="1">
      <alignment horizontal="center" vertical="top"/>
    </xf>
    <xf numFmtId="0" fontId="24" fillId="5" borderId="1" xfId="0" applyFont="1" applyFill="1" applyBorder="1" applyAlignment="1">
      <alignment horizontal="center" vertical="top"/>
    </xf>
    <xf numFmtId="0" fontId="27" fillId="0" borderId="10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5" borderId="2" xfId="0" applyFont="1" applyFill="1" applyBorder="1" applyAlignment="1">
      <alignment horizontal="center" vertical="top"/>
    </xf>
    <xf numFmtId="0" fontId="24" fillId="5" borderId="3" xfId="0" applyFont="1" applyFill="1" applyBorder="1" applyAlignment="1">
      <alignment horizontal="center" vertical="top"/>
    </xf>
    <xf numFmtId="0" fontId="24" fillId="5" borderId="4" xfId="0" applyFont="1" applyFill="1" applyBorder="1" applyAlignment="1">
      <alignment horizontal="center" vertical="top"/>
    </xf>
    <xf numFmtId="0" fontId="24" fillId="5" borderId="5" xfId="0" applyFont="1" applyFill="1" applyBorder="1" applyAlignment="1">
      <alignment horizontal="center" vertical="top"/>
    </xf>
    <xf numFmtId="0" fontId="24" fillId="5" borderId="0" xfId="0" applyFont="1" applyFill="1" applyBorder="1" applyAlignment="1">
      <alignment horizontal="center" vertical="top"/>
    </xf>
    <xf numFmtId="0" fontId="24" fillId="5" borderId="6" xfId="0" applyFont="1" applyFill="1" applyBorder="1" applyAlignment="1">
      <alignment horizontal="center" vertical="top"/>
    </xf>
    <xf numFmtId="0" fontId="24" fillId="5" borderId="7" xfId="0" applyFont="1" applyFill="1" applyBorder="1" applyAlignment="1">
      <alignment horizontal="center" vertical="top"/>
    </xf>
    <xf numFmtId="0" fontId="24" fillId="5" borderId="8" xfId="0" applyFont="1" applyFill="1" applyBorder="1" applyAlignment="1">
      <alignment horizontal="center" vertical="top"/>
    </xf>
    <xf numFmtId="0" fontId="24" fillId="5" borderId="9" xfId="0" applyFont="1" applyFill="1" applyBorder="1" applyAlignment="1">
      <alignment horizontal="center" vertical="top"/>
    </xf>
    <xf numFmtId="0" fontId="21" fillId="3" borderId="0" xfId="0" applyFont="1" applyFill="1" applyAlignment="1">
      <alignment horizontal="center" wrapText="1"/>
    </xf>
    <xf numFmtId="0" fontId="23" fillId="5" borderId="3" xfId="0" applyFont="1" applyFill="1" applyBorder="1" applyAlignment="1">
      <alignment horizontal="center" vertical="top"/>
    </xf>
    <xf numFmtId="0" fontId="23" fillId="5" borderId="4" xfId="0" applyFont="1" applyFill="1" applyBorder="1" applyAlignment="1">
      <alignment horizontal="center" vertical="top"/>
    </xf>
    <xf numFmtId="0" fontId="23" fillId="5" borderId="5" xfId="0" applyFont="1" applyFill="1" applyBorder="1" applyAlignment="1">
      <alignment horizontal="center" vertical="top"/>
    </xf>
    <xf numFmtId="0" fontId="23" fillId="5" borderId="0" xfId="0" applyFont="1" applyFill="1" applyBorder="1" applyAlignment="1">
      <alignment horizontal="center" vertical="top"/>
    </xf>
    <xf numFmtId="0" fontId="23" fillId="5" borderId="6" xfId="0" applyFont="1" applyFill="1" applyBorder="1" applyAlignment="1">
      <alignment horizontal="center" vertical="top"/>
    </xf>
    <xf numFmtId="0" fontId="23" fillId="5" borderId="7" xfId="0" applyFont="1" applyFill="1" applyBorder="1" applyAlignment="1">
      <alignment horizontal="center" vertical="top"/>
    </xf>
    <xf numFmtId="0" fontId="23" fillId="5" borderId="8" xfId="0" applyFont="1" applyFill="1" applyBorder="1" applyAlignment="1">
      <alignment horizontal="center" vertical="top"/>
    </xf>
    <xf numFmtId="0" fontId="23" fillId="5" borderId="9" xfId="0" applyFont="1" applyFill="1" applyBorder="1" applyAlignment="1">
      <alignment horizontal="center" vertical="top"/>
    </xf>
    <xf numFmtId="0" fontId="16" fillId="3" borderId="0" xfId="0" applyFont="1" applyFill="1" applyAlignment="1">
      <alignment horizontal="center"/>
    </xf>
    <xf numFmtId="0" fontId="1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46">
    <dxf>
      <numFmt numFmtId="14" formatCode="0.00%"/>
    </dxf>
    <dxf>
      <numFmt numFmtId="14" formatCode="0.00%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19" formatCode="dd/mm/yyyy"/>
    </dxf>
    <dxf>
      <font>
        <sz val="10"/>
        <name val="Calibri"/>
        <scheme val="minor"/>
      </font>
      <numFmt numFmtId="19" formatCode="dd/mm/yyyy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14" formatCode="0.00%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</dxf>
    <dxf>
      <font>
        <sz val="10"/>
        <name val="Calibri"/>
        <scheme val="minor"/>
      </font>
    </dxf>
    <dxf>
      <font>
        <sz val="10"/>
        <name val="Calibri"/>
        <scheme val="minor"/>
      </font>
    </dxf>
    <dxf>
      <font>
        <sz val="10"/>
        <name val="Calibri"/>
        <scheme val="minor"/>
      </font>
    </dxf>
    <dxf>
      <font>
        <sz val="10"/>
        <name val="Calibri"/>
        <scheme val="minor"/>
      </font>
    </dxf>
    <dxf>
      <font>
        <sz val="10"/>
        <name val="Calibri"/>
        <scheme val="minor"/>
      </font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19" formatCode="dd/mm/yyyy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  <numFmt numFmtId="0" formatCode="General"/>
    </dxf>
    <dxf>
      <font>
        <sz val="10"/>
        <name val="Calibri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19" formatCode="dd/mm/yyyy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rgb="FFFF0000"/>
        </patternFill>
      </fill>
    </dxf>
    <dxf>
      <font>
        <color rgb="FFFFFF00"/>
      </font>
    </dxf>
    <dxf>
      <font>
        <b/>
      </font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theme="0"/>
        </patternFill>
      </fill>
    </dxf>
    <dxf>
      <font>
        <color theme="1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[MyntraProject_KireetiAvula.xlsx]3.Platform Analysis 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'3.Platform Analysis '!$J$24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D9-4AAB-889B-6C4B40B7F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D9-4AAB-889B-6C4B40B7F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D9-4AAB-889B-6C4B40B7F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D9-4AAB-889B-6C4B40B7FD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'3.Platform Analysis '!$I$25:$I$29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'3.Platform Analysis '!$J$25:$J$29</c:f>
              <c:numCache>
                <c:formatCode>General</c:formatCode>
                <c:ptCount val="4"/>
                <c:pt idx="0">
                  <c:v>35557</c:v>
                </c:pt>
                <c:pt idx="1">
                  <c:v>48004</c:v>
                </c:pt>
                <c:pt idx="2">
                  <c:v>41177</c:v>
                </c:pt>
                <c:pt idx="3">
                  <c:v>35367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B-483D-93D0-B4B6A0548F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[MyntraProject_KireetiAvula.xlsx]3.Platform Analysis 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'3.Platform Analysis '!$C$7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'3.Platform Analysis '!$B$8:$B$11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'3.Platform Analysis '!$C$8:$C$11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C-40E6-AEC3-F9FC2AB76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2144608"/>
        <c:axId val="1752150368"/>
      </c:barChart>
      <c:valAx>
        <c:axId val="175215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44608"/>
        <c:crosses val="autoZero"/>
        <c:crossBetween val="between"/>
      </c:valAx>
      <c:catAx>
        <c:axId val="175214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150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[MyntraProject_KireetiAvula.xlsx]3.Platform Analysis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vs ad spend per plaform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'3.Platform Analysis '!$J$33</c:f>
              <c:strCache>
                <c:ptCount val="1"/>
                <c:pt idx="0">
                  <c:v>Average of Follower_Growth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'3.Platform Analysis '!$I$34:$I$38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'3.Platform Analysis '!$J$34:$J$38</c:f>
              <c:numCache>
                <c:formatCode>General</c:formatCode>
                <c:ptCount val="4"/>
                <c:pt idx="0">
                  <c:v>711.14</c:v>
                </c:pt>
                <c:pt idx="1">
                  <c:v>960.08</c:v>
                </c:pt>
                <c:pt idx="2">
                  <c:v>823.54</c:v>
                </c:pt>
                <c:pt idx="3">
                  <c:v>707.34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788-9B74-BF5AFBFD8810}"/>
            </c:ext>
          </c:extLst>
        </c:ser>
        <c:ser>
          <c:idx val="1"/>
          <c:order val="1"/>
          <c:tx>
            <c:strRef>
              <c:f>'3.Platform Analysis '!$K$33</c:f>
              <c:strCache>
                <c:ptCount val="1"/>
                <c:pt idx="0">
                  <c:v>Average of Ad_Spend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'3.Platform Analysis '!$I$34:$I$38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'3.Platform Analysis '!$K$34:$K$38</c:f>
              <c:numCache>
                <c:formatCode>General</c:formatCode>
                <c:ptCount val="4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D-4788-9B74-BF5AFBFD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4076936"/>
        <c:axId val="1454085128"/>
      </c:barChart>
      <c:catAx>
        <c:axId val="145407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85128"/>
        <c:crosses val="autoZero"/>
        <c:auto val="1"/>
        <c:lblAlgn val="ctr"/>
        <c:lblOffset val="100"/>
        <c:noMultiLvlLbl val="0"/>
      </c:catAx>
      <c:valAx>
        <c:axId val="145408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07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[MyntraProject_KireetiAvula.xlsx]5.Campaign Effectiveness!PivotTable6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'5.Campaign Effectiveness'!$H$8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'5.Campaign Effectiveness'!$G$9:$G$21</c:f>
              <c:multiLvlStrCache>
                <c:ptCount val="8"/>
                <c:lvl>
                  <c:pt idx="0">
                    <c:v>Before</c:v>
                  </c:pt>
                  <c:pt idx="1">
                    <c:v>During</c:v>
                  </c:pt>
                  <c:pt idx="2">
                    <c:v>Before</c:v>
                  </c:pt>
                  <c:pt idx="3">
                    <c:v>During</c:v>
                  </c:pt>
                  <c:pt idx="4">
                    <c:v>Before</c:v>
                  </c:pt>
                  <c:pt idx="5">
                    <c:v>During</c:v>
                  </c:pt>
                  <c:pt idx="6">
                    <c:v>Before</c:v>
                  </c:pt>
                  <c:pt idx="7">
                    <c:v>During</c:v>
                  </c:pt>
                </c:lvl>
                <c:lvl>
                  <c:pt idx="0">
                    <c:v>EndOfSeasonSale</c:v>
                  </c:pt>
                  <c:pt idx="2">
                    <c:v>FashionUpgrade</c:v>
                  </c:pt>
                  <c:pt idx="4">
                    <c:v>MyntraFestiveEdit</c:v>
                  </c:pt>
                  <c:pt idx="6">
                    <c:v>StyleRevolution</c:v>
                  </c:pt>
                </c:lvl>
              </c:multiLvlStrCache>
            </c:multiLvlStrRef>
          </c:cat>
          <c:val>
            <c:numRef>
              <c:f>'5.Campaign Effectiveness'!$H$9:$H$21</c:f>
              <c:numCache>
                <c:formatCode>0.00%</c:formatCode>
                <c:ptCount val="8"/>
                <c:pt idx="0">
                  <c:v>0.15612325571561478</c:v>
                </c:pt>
                <c:pt idx="1">
                  <c:v>0.12027717500246841</c:v>
                </c:pt>
                <c:pt idx="2">
                  <c:v>0.13814560601264944</c:v>
                </c:pt>
                <c:pt idx="3">
                  <c:v>0.12855150630297563</c:v>
                </c:pt>
                <c:pt idx="4">
                  <c:v>0.14493516754623392</c:v>
                </c:pt>
                <c:pt idx="5">
                  <c:v>0.14016298986539422</c:v>
                </c:pt>
                <c:pt idx="6">
                  <c:v>0.15086526637230793</c:v>
                </c:pt>
                <c:pt idx="7">
                  <c:v>0.22189303353000364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7-407B-95A0-2EED1509CBFB}"/>
            </c:ext>
          </c:extLst>
        </c:ser>
        <c:ser>
          <c:idx val="1"/>
          <c:order val="1"/>
          <c:tx>
            <c:strRef>
              <c:f>'5.Campaign Effectiveness'!$I$8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'5.Campaign Effectiveness'!$G$9:$G$21</c:f>
              <c:multiLvlStrCache>
                <c:ptCount val="8"/>
                <c:lvl>
                  <c:pt idx="0">
                    <c:v>Before</c:v>
                  </c:pt>
                  <c:pt idx="1">
                    <c:v>During</c:v>
                  </c:pt>
                  <c:pt idx="2">
                    <c:v>Before</c:v>
                  </c:pt>
                  <c:pt idx="3">
                    <c:v>During</c:v>
                  </c:pt>
                  <c:pt idx="4">
                    <c:v>Before</c:v>
                  </c:pt>
                  <c:pt idx="5">
                    <c:v>During</c:v>
                  </c:pt>
                  <c:pt idx="6">
                    <c:v>Before</c:v>
                  </c:pt>
                  <c:pt idx="7">
                    <c:v>During</c:v>
                  </c:pt>
                </c:lvl>
                <c:lvl>
                  <c:pt idx="0">
                    <c:v>EndOfSeasonSale</c:v>
                  </c:pt>
                  <c:pt idx="2">
                    <c:v>FashionUpgrade</c:v>
                  </c:pt>
                  <c:pt idx="4">
                    <c:v>MyntraFestiveEdit</c:v>
                  </c:pt>
                  <c:pt idx="6">
                    <c:v>StyleRevolution</c:v>
                  </c:pt>
                </c:lvl>
              </c:multiLvlStrCache>
            </c:multiLvlStrRef>
          </c:cat>
          <c:val>
            <c:numRef>
              <c:f>'5.Campaign Effectiveness'!$I$9:$I$21</c:f>
              <c:numCache>
                <c:formatCode>General</c:formatCode>
                <c:ptCount val="8"/>
                <c:pt idx="0">
                  <c:v>11503</c:v>
                </c:pt>
                <c:pt idx="1">
                  <c:v>873</c:v>
                </c:pt>
                <c:pt idx="2">
                  <c:v>9880</c:v>
                </c:pt>
                <c:pt idx="3">
                  <c:v>1311</c:v>
                </c:pt>
                <c:pt idx="4">
                  <c:v>10805</c:v>
                </c:pt>
                <c:pt idx="5">
                  <c:v>1659</c:v>
                </c:pt>
                <c:pt idx="6">
                  <c:v>8386</c:v>
                </c:pt>
                <c:pt idx="7">
                  <c:v>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7-407B-95A0-2EED1509CBFB}"/>
            </c:ext>
          </c:extLst>
        </c:ser>
        <c:ser>
          <c:idx val="2"/>
          <c:order val="2"/>
          <c:tx>
            <c:strRef>
              <c:f>'5.Campaign Effectiveness'!$J$8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'5.Campaign Effectiveness'!$G$9:$G$21</c:f>
              <c:multiLvlStrCache>
                <c:ptCount val="8"/>
                <c:lvl>
                  <c:pt idx="0">
                    <c:v>Before</c:v>
                  </c:pt>
                  <c:pt idx="1">
                    <c:v>During</c:v>
                  </c:pt>
                  <c:pt idx="2">
                    <c:v>Before</c:v>
                  </c:pt>
                  <c:pt idx="3">
                    <c:v>During</c:v>
                  </c:pt>
                  <c:pt idx="4">
                    <c:v>Before</c:v>
                  </c:pt>
                  <c:pt idx="5">
                    <c:v>During</c:v>
                  </c:pt>
                  <c:pt idx="6">
                    <c:v>Before</c:v>
                  </c:pt>
                  <c:pt idx="7">
                    <c:v>During</c:v>
                  </c:pt>
                </c:lvl>
                <c:lvl>
                  <c:pt idx="0">
                    <c:v>EndOfSeasonSale</c:v>
                  </c:pt>
                  <c:pt idx="2">
                    <c:v>FashionUpgrade</c:v>
                  </c:pt>
                  <c:pt idx="4">
                    <c:v>MyntraFestiveEdit</c:v>
                  </c:pt>
                  <c:pt idx="6">
                    <c:v>StyleRevolution</c:v>
                  </c:pt>
                </c:lvl>
              </c:multiLvlStrCache>
            </c:multiLvlStrRef>
          </c:cat>
          <c:val>
            <c:numRef>
              <c:f>'5.Campaign Effectiveness'!$J$9:$J$21</c:f>
              <c:numCache>
                <c:formatCode>General</c:formatCode>
                <c:ptCount val="8"/>
                <c:pt idx="0">
                  <c:v>2686580</c:v>
                </c:pt>
                <c:pt idx="1">
                  <c:v>199712</c:v>
                </c:pt>
                <c:pt idx="2">
                  <c:v>2508661</c:v>
                </c:pt>
                <c:pt idx="3">
                  <c:v>279706</c:v>
                </c:pt>
                <c:pt idx="4">
                  <c:v>2416564</c:v>
                </c:pt>
                <c:pt idx="5">
                  <c:v>195088</c:v>
                </c:pt>
                <c:pt idx="6">
                  <c:v>1980477</c:v>
                </c:pt>
                <c:pt idx="7">
                  <c:v>127365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7-407B-95A0-2EED1509CBFB}"/>
            </c:ext>
          </c:extLst>
        </c:ser>
        <c:ser>
          <c:idx val="3"/>
          <c:order val="3"/>
          <c:tx>
            <c:strRef>
              <c:f>'5.Campaign Effectiveness'!$K$8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'5.Campaign Effectiveness'!$G$9:$G$21</c:f>
              <c:multiLvlStrCache>
                <c:ptCount val="8"/>
                <c:lvl>
                  <c:pt idx="0">
                    <c:v>Before</c:v>
                  </c:pt>
                  <c:pt idx="1">
                    <c:v>During</c:v>
                  </c:pt>
                  <c:pt idx="2">
                    <c:v>Before</c:v>
                  </c:pt>
                  <c:pt idx="3">
                    <c:v>During</c:v>
                  </c:pt>
                  <c:pt idx="4">
                    <c:v>Before</c:v>
                  </c:pt>
                  <c:pt idx="5">
                    <c:v>During</c:v>
                  </c:pt>
                  <c:pt idx="6">
                    <c:v>Before</c:v>
                  </c:pt>
                  <c:pt idx="7">
                    <c:v>During</c:v>
                  </c:pt>
                </c:lvl>
                <c:lvl>
                  <c:pt idx="0">
                    <c:v>EndOfSeasonSale</c:v>
                  </c:pt>
                  <c:pt idx="2">
                    <c:v>FashionUpgrade</c:v>
                  </c:pt>
                  <c:pt idx="4">
                    <c:v>MyntraFestiveEdit</c:v>
                  </c:pt>
                  <c:pt idx="6">
                    <c:v>StyleRevolution</c:v>
                  </c:pt>
                </c:lvl>
              </c:multiLvlStrCache>
            </c:multiLvlStrRef>
          </c:cat>
          <c:val>
            <c:numRef>
              <c:f>'5.Campaign Effectiveness'!$K$9:$K$21</c:f>
              <c:numCache>
                <c:formatCode>General</c:formatCode>
                <c:ptCount val="8"/>
                <c:pt idx="0">
                  <c:v>216535</c:v>
                </c:pt>
                <c:pt idx="1">
                  <c:v>16250</c:v>
                </c:pt>
                <c:pt idx="2">
                  <c:v>188063</c:v>
                </c:pt>
                <c:pt idx="3">
                  <c:v>24368</c:v>
                </c:pt>
                <c:pt idx="4">
                  <c:v>178693</c:v>
                </c:pt>
                <c:pt idx="5">
                  <c:v>19973</c:v>
                </c:pt>
                <c:pt idx="6">
                  <c:v>162409</c:v>
                </c:pt>
                <c:pt idx="7">
                  <c:v>13700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7-407B-95A0-2EED1509C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8038047"/>
        <c:axId val="1828038527"/>
      </c:barChart>
      <c:catAx>
        <c:axId val="182803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38527"/>
        <c:crosses val="autoZero"/>
        <c:auto val="1"/>
        <c:lblAlgn val="ctr"/>
        <c:lblOffset val="100"/>
        <c:noMultiLvlLbl val="0"/>
      </c:catAx>
      <c:valAx>
        <c:axId val="18280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14698709108205"/>
          <c:y val="0.17812679184332725"/>
          <c:w val="0.25276989630027591"/>
          <c:h val="0.643746012517666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[MyntraProject_KireetiAvula.xlsx]6.Follower Retention &amp; Loy!PivotTable1</c:name>
    <c:fmtId val="1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159154819068063E-2"/>
          <c:y val="0.14301597981312433"/>
          <c:w val="0.82814754271986601"/>
          <c:h val="0.64850155180935887"/>
        </c:manualLayout>
      </c:layout>
      <c:lineChart>
        <c:grouping val="standard"/>
        <c:varyColors val="0"/>
        <c:ser>
          <c:idx val="0"/>
          <c:order val="0"/>
          <c:tx>
            <c:strRef>
              <c:f>'6.Follower Retention &amp; Loy'!$B$7:$B$8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'6.Follower Retention &amp; Loy'!$A$9:$A$59</c:f>
              <c:strCache>
                <c:ptCount val="50"/>
                <c:pt idx="0">
                  <c:v>30/12/2024</c:v>
                </c:pt>
                <c:pt idx="1">
                  <c:v>10/02/2025</c:v>
                </c:pt>
                <c:pt idx="2">
                  <c:v>16/12/2024</c:v>
                </c:pt>
                <c:pt idx="3">
                  <c:v>24/02/2025</c:v>
                </c:pt>
                <c:pt idx="4">
                  <c:v>02/12/2024</c:v>
                </c:pt>
                <c:pt idx="5">
                  <c:v>09/12/2024</c:v>
                </c:pt>
                <c:pt idx="6">
                  <c:v>05/05/2025</c:v>
                </c:pt>
                <c:pt idx="7">
                  <c:v>04/11/2024</c:v>
                </c:pt>
                <c:pt idx="8">
                  <c:v>09/09/2024</c:v>
                </c:pt>
                <c:pt idx="9">
                  <c:v>31/03/2025</c:v>
                </c:pt>
                <c:pt idx="10">
                  <c:v>17/03/2025</c:v>
                </c:pt>
                <c:pt idx="11">
                  <c:v>21/04/2025</c:v>
                </c:pt>
                <c:pt idx="12">
                  <c:v>25/11/2024</c:v>
                </c:pt>
                <c:pt idx="13">
                  <c:v>23/12/2024</c:v>
                </c:pt>
                <c:pt idx="14">
                  <c:v>17/06/2024</c:v>
                </c:pt>
                <c:pt idx="15">
                  <c:v>07/10/2024</c:v>
                </c:pt>
                <c:pt idx="16">
                  <c:v>12/08/2024</c:v>
                </c:pt>
                <c:pt idx="17">
                  <c:v>10/03/2025</c:v>
                </c:pt>
                <c:pt idx="18">
                  <c:v>17/02/2025</c:v>
                </c:pt>
                <c:pt idx="19">
                  <c:v>20/01/2025</c:v>
                </c:pt>
                <c:pt idx="20">
                  <c:v>28/04/2025</c:v>
                </c:pt>
                <c:pt idx="21">
                  <c:v>06/01/2025</c:v>
                </c:pt>
                <c:pt idx="22">
                  <c:v>03/06/2024</c:v>
                </c:pt>
                <c:pt idx="23">
                  <c:v>27/01/2025</c:v>
                </c:pt>
                <c:pt idx="24">
                  <c:v>23/09/2024</c:v>
                </c:pt>
                <c:pt idx="25">
                  <c:v>30/09/2024</c:v>
                </c:pt>
                <c:pt idx="26">
                  <c:v>08/07/2024</c:v>
                </c:pt>
                <c:pt idx="27">
                  <c:v>24/06/2024</c:v>
                </c:pt>
                <c:pt idx="28">
                  <c:v>19/08/2024</c:v>
                </c:pt>
                <c:pt idx="29">
                  <c:v>10/06/2024</c:v>
                </c:pt>
                <c:pt idx="30">
                  <c:v>26/08/2024</c:v>
                </c:pt>
                <c:pt idx="31">
                  <c:v>02/09/2024</c:v>
                </c:pt>
                <c:pt idx="32">
                  <c:v>21/10/2024</c:v>
                </c:pt>
                <c:pt idx="33">
                  <c:v>13/01/2025</c:v>
                </c:pt>
                <c:pt idx="34">
                  <c:v>22/07/2024</c:v>
                </c:pt>
                <c:pt idx="35">
                  <c:v>28/10/2024</c:v>
                </c:pt>
                <c:pt idx="36">
                  <c:v>07/04/2025</c:v>
                </c:pt>
                <c:pt idx="37">
                  <c:v>03/03/2025</c:v>
                </c:pt>
                <c:pt idx="38">
                  <c:v>11/11/2024</c:v>
                </c:pt>
                <c:pt idx="39">
                  <c:v>15/07/2024</c:v>
                </c:pt>
                <c:pt idx="40">
                  <c:v>03/02/2025</c:v>
                </c:pt>
                <c:pt idx="41">
                  <c:v>29/07/2024</c:v>
                </c:pt>
                <c:pt idx="42">
                  <c:v>12/05/2025</c:v>
                </c:pt>
                <c:pt idx="43">
                  <c:v>14/10/2024</c:v>
                </c:pt>
                <c:pt idx="44">
                  <c:v>24/03/2025</c:v>
                </c:pt>
                <c:pt idx="45">
                  <c:v>16/09/2024</c:v>
                </c:pt>
                <c:pt idx="46">
                  <c:v>01/07/2024</c:v>
                </c:pt>
                <c:pt idx="47">
                  <c:v>05/08/2024</c:v>
                </c:pt>
                <c:pt idx="48">
                  <c:v>18/11/2024</c:v>
                </c:pt>
                <c:pt idx="49">
                  <c:v>14/04/2025</c:v>
                </c:pt>
              </c:strCache>
            </c:strRef>
          </c:cat>
          <c:val>
            <c:numRef>
              <c:f>'6.Follower Retention &amp; Loy'!$B$9:$B$59</c:f>
              <c:numCache>
                <c:formatCode>General</c:formatCode>
                <c:ptCount val="50"/>
                <c:pt idx="0">
                  <c:v>1776</c:v>
                </c:pt>
                <c:pt idx="1">
                  <c:v>912</c:v>
                </c:pt>
                <c:pt idx="2">
                  <c:v>1377</c:v>
                </c:pt>
                <c:pt idx="3">
                  <c:v>1707</c:v>
                </c:pt>
                <c:pt idx="4">
                  <c:v>1706</c:v>
                </c:pt>
                <c:pt idx="5">
                  <c:v>1373</c:v>
                </c:pt>
                <c:pt idx="6">
                  <c:v>339</c:v>
                </c:pt>
                <c:pt idx="7">
                  <c:v>540</c:v>
                </c:pt>
                <c:pt idx="8">
                  <c:v>1428</c:v>
                </c:pt>
                <c:pt idx="9">
                  <c:v>514</c:v>
                </c:pt>
                <c:pt idx="10">
                  <c:v>1116</c:v>
                </c:pt>
                <c:pt idx="11">
                  <c:v>1045</c:v>
                </c:pt>
                <c:pt idx="12">
                  <c:v>1332</c:v>
                </c:pt>
                <c:pt idx="13">
                  <c:v>730</c:v>
                </c:pt>
                <c:pt idx="14">
                  <c:v>1382</c:v>
                </c:pt>
                <c:pt idx="15">
                  <c:v>1662</c:v>
                </c:pt>
                <c:pt idx="16">
                  <c:v>1334</c:v>
                </c:pt>
                <c:pt idx="17">
                  <c:v>908</c:v>
                </c:pt>
                <c:pt idx="18">
                  <c:v>1590</c:v>
                </c:pt>
                <c:pt idx="19">
                  <c:v>427</c:v>
                </c:pt>
                <c:pt idx="20">
                  <c:v>453</c:v>
                </c:pt>
                <c:pt idx="21">
                  <c:v>620</c:v>
                </c:pt>
                <c:pt idx="22">
                  <c:v>1002</c:v>
                </c:pt>
                <c:pt idx="23">
                  <c:v>898</c:v>
                </c:pt>
                <c:pt idx="24">
                  <c:v>-19</c:v>
                </c:pt>
                <c:pt idx="25">
                  <c:v>-179</c:v>
                </c:pt>
                <c:pt idx="26">
                  <c:v>309</c:v>
                </c:pt>
                <c:pt idx="27">
                  <c:v>1670</c:v>
                </c:pt>
                <c:pt idx="28">
                  <c:v>1058</c:v>
                </c:pt>
                <c:pt idx="29">
                  <c:v>1283</c:v>
                </c:pt>
                <c:pt idx="30">
                  <c:v>37</c:v>
                </c:pt>
                <c:pt idx="31">
                  <c:v>1045</c:v>
                </c:pt>
                <c:pt idx="32">
                  <c:v>439</c:v>
                </c:pt>
                <c:pt idx="33">
                  <c:v>298</c:v>
                </c:pt>
                <c:pt idx="34">
                  <c:v>961</c:v>
                </c:pt>
                <c:pt idx="35">
                  <c:v>386</c:v>
                </c:pt>
                <c:pt idx="36">
                  <c:v>1029</c:v>
                </c:pt>
                <c:pt idx="37">
                  <c:v>-119</c:v>
                </c:pt>
                <c:pt idx="38">
                  <c:v>-106</c:v>
                </c:pt>
                <c:pt idx="39">
                  <c:v>-164</c:v>
                </c:pt>
                <c:pt idx="40">
                  <c:v>748</c:v>
                </c:pt>
                <c:pt idx="41">
                  <c:v>-318</c:v>
                </c:pt>
                <c:pt idx="42">
                  <c:v>407</c:v>
                </c:pt>
                <c:pt idx="43">
                  <c:v>285</c:v>
                </c:pt>
                <c:pt idx="44">
                  <c:v>474</c:v>
                </c:pt>
                <c:pt idx="45">
                  <c:v>98</c:v>
                </c:pt>
                <c:pt idx="46">
                  <c:v>64</c:v>
                </c:pt>
                <c:pt idx="47">
                  <c:v>-197</c:v>
                </c:pt>
                <c:pt idx="48">
                  <c:v>72</c:v>
                </c:pt>
                <c:pt idx="49">
                  <c:v>-175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9-44DD-B449-FD7C355DE750}"/>
            </c:ext>
          </c:extLst>
        </c:ser>
        <c:ser>
          <c:idx val="1"/>
          <c:order val="1"/>
          <c:tx>
            <c:strRef>
              <c:f>'6.Follower Retention &amp; Loy'!$C$7:$C$8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'6.Follower Retention &amp; Loy'!$A$9:$A$59</c:f>
              <c:strCache>
                <c:ptCount val="50"/>
                <c:pt idx="0">
                  <c:v>30/12/2024</c:v>
                </c:pt>
                <c:pt idx="1">
                  <c:v>10/02/2025</c:v>
                </c:pt>
                <c:pt idx="2">
                  <c:v>16/12/2024</c:v>
                </c:pt>
                <c:pt idx="3">
                  <c:v>24/02/2025</c:v>
                </c:pt>
                <c:pt idx="4">
                  <c:v>02/12/2024</c:v>
                </c:pt>
                <c:pt idx="5">
                  <c:v>09/12/2024</c:v>
                </c:pt>
                <c:pt idx="6">
                  <c:v>05/05/2025</c:v>
                </c:pt>
                <c:pt idx="7">
                  <c:v>04/11/2024</c:v>
                </c:pt>
                <c:pt idx="8">
                  <c:v>09/09/2024</c:v>
                </c:pt>
                <c:pt idx="9">
                  <c:v>31/03/2025</c:v>
                </c:pt>
                <c:pt idx="10">
                  <c:v>17/03/2025</c:v>
                </c:pt>
                <c:pt idx="11">
                  <c:v>21/04/2025</c:v>
                </c:pt>
                <c:pt idx="12">
                  <c:v>25/11/2024</c:v>
                </c:pt>
                <c:pt idx="13">
                  <c:v>23/12/2024</c:v>
                </c:pt>
                <c:pt idx="14">
                  <c:v>17/06/2024</c:v>
                </c:pt>
                <c:pt idx="15">
                  <c:v>07/10/2024</c:v>
                </c:pt>
                <c:pt idx="16">
                  <c:v>12/08/2024</c:v>
                </c:pt>
                <c:pt idx="17">
                  <c:v>10/03/2025</c:v>
                </c:pt>
                <c:pt idx="18">
                  <c:v>17/02/2025</c:v>
                </c:pt>
                <c:pt idx="19">
                  <c:v>20/01/2025</c:v>
                </c:pt>
                <c:pt idx="20">
                  <c:v>28/04/2025</c:v>
                </c:pt>
                <c:pt idx="21">
                  <c:v>06/01/2025</c:v>
                </c:pt>
                <c:pt idx="22">
                  <c:v>03/06/2024</c:v>
                </c:pt>
                <c:pt idx="23">
                  <c:v>27/01/2025</c:v>
                </c:pt>
                <c:pt idx="24">
                  <c:v>23/09/2024</c:v>
                </c:pt>
                <c:pt idx="25">
                  <c:v>30/09/2024</c:v>
                </c:pt>
                <c:pt idx="26">
                  <c:v>08/07/2024</c:v>
                </c:pt>
                <c:pt idx="27">
                  <c:v>24/06/2024</c:v>
                </c:pt>
                <c:pt idx="28">
                  <c:v>19/08/2024</c:v>
                </c:pt>
                <c:pt idx="29">
                  <c:v>10/06/2024</c:v>
                </c:pt>
                <c:pt idx="30">
                  <c:v>26/08/2024</c:v>
                </c:pt>
                <c:pt idx="31">
                  <c:v>02/09/2024</c:v>
                </c:pt>
                <c:pt idx="32">
                  <c:v>21/10/2024</c:v>
                </c:pt>
                <c:pt idx="33">
                  <c:v>13/01/2025</c:v>
                </c:pt>
                <c:pt idx="34">
                  <c:v>22/07/2024</c:v>
                </c:pt>
                <c:pt idx="35">
                  <c:v>28/10/2024</c:v>
                </c:pt>
                <c:pt idx="36">
                  <c:v>07/04/2025</c:v>
                </c:pt>
                <c:pt idx="37">
                  <c:v>03/03/2025</c:v>
                </c:pt>
                <c:pt idx="38">
                  <c:v>11/11/2024</c:v>
                </c:pt>
                <c:pt idx="39">
                  <c:v>15/07/2024</c:v>
                </c:pt>
                <c:pt idx="40">
                  <c:v>03/02/2025</c:v>
                </c:pt>
                <c:pt idx="41">
                  <c:v>29/07/2024</c:v>
                </c:pt>
                <c:pt idx="42">
                  <c:v>12/05/2025</c:v>
                </c:pt>
                <c:pt idx="43">
                  <c:v>14/10/2024</c:v>
                </c:pt>
                <c:pt idx="44">
                  <c:v>24/03/2025</c:v>
                </c:pt>
                <c:pt idx="45">
                  <c:v>16/09/2024</c:v>
                </c:pt>
                <c:pt idx="46">
                  <c:v>01/07/2024</c:v>
                </c:pt>
                <c:pt idx="47">
                  <c:v>05/08/2024</c:v>
                </c:pt>
                <c:pt idx="48">
                  <c:v>18/11/2024</c:v>
                </c:pt>
                <c:pt idx="49">
                  <c:v>14/04/2025</c:v>
                </c:pt>
              </c:strCache>
            </c:strRef>
          </c:cat>
          <c:val>
            <c:numRef>
              <c:f>'6.Follower Retention &amp; Loy'!$C$9:$C$59</c:f>
              <c:numCache>
                <c:formatCode>General</c:formatCode>
                <c:ptCount val="50"/>
                <c:pt idx="0">
                  <c:v>1765</c:v>
                </c:pt>
                <c:pt idx="1">
                  <c:v>1723</c:v>
                </c:pt>
                <c:pt idx="2">
                  <c:v>1432</c:v>
                </c:pt>
                <c:pt idx="3">
                  <c:v>1375</c:v>
                </c:pt>
                <c:pt idx="4">
                  <c:v>1625</c:v>
                </c:pt>
                <c:pt idx="5">
                  <c:v>1119</c:v>
                </c:pt>
                <c:pt idx="6">
                  <c:v>1881</c:v>
                </c:pt>
                <c:pt idx="7">
                  <c:v>1397</c:v>
                </c:pt>
                <c:pt idx="8">
                  <c:v>1572</c:v>
                </c:pt>
                <c:pt idx="9">
                  <c:v>641</c:v>
                </c:pt>
                <c:pt idx="10">
                  <c:v>680</c:v>
                </c:pt>
                <c:pt idx="11">
                  <c:v>603</c:v>
                </c:pt>
                <c:pt idx="12">
                  <c:v>1693</c:v>
                </c:pt>
                <c:pt idx="13">
                  <c:v>684</c:v>
                </c:pt>
                <c:pt idx="14">
                  <c:v>893</c:v>
                </c:pt>
                <c:pt idx="15">
                  <c:v>1872</c:v>
                </c:pt>
                <c:pt idx="16">
                  <c:v>1325</c:v>
                </c:pt>
                <c:pt idx="17">
                  <c:v>212</c:v>
                </c:pt>
                <c:pt idx="18">
                  <c:v>965</c:v>
                </c:pt>
                <c:pt idx="19">
                  <c:v>1572</c:v>
                </c:pt>
                <c:pt idx="20">
                  <c:v>1539</c:v>
                </c:pt>
                <c:pt idx="21">
                  <c:v>903</c:v>
                </c:pt>
                <c:pt idx="22">
                  <c:v>1047</c:v>
                </c:pt>
                <c:pt idx="23">
                  <c:v>-166</c:v>
                </c:pt>
                <c:pt idx="24">
                  <c:v>666</c:v>
                </c:pt>
                <c:pt idx="25">
                  <c:v>1025</c:v>
                </c:pt>
                <c:pt idx="26">
                  <c:v>1672</c:v>
                </c:pt>
                <c:pt idx="27">
                  <c:v>629</c:v>
                </c:pt>
                <c:pt idx="28">
                  <c:v>76</c:v>
                </c:pt>
                <c:pt idx="29">
                  <c:v>517</c:v>
                </c:pt>
                <c:pt idx="30">
                  <c:v>1609</c:v>
                </c:pt>
                <c:pt idx="31">
                  <c:v>1247</c:v>
                </c:pt>
                <c:pt idx="32">
                  <c:v>262</c:v>
                </c:pt>
                <c:pt idx="33">
                  <c:v>1722</c:v>
                </c:pt>
                <c:pt idx="34">
                  <c:v>159</c:v>
                </c:pt>
                <c:pt idx="35">
                  <c:v>576</c:v>
                </c:pt>
                <c:pt idx="36">
                  <c:v>167</c:v>
                </c:pt>
                <c:pt idx="37">
                  <c:v>1315</c:v>
                </c:pt>
                <c:pt idx="38">
                  <c:v>902</c:v>
                </c:pt>
                <c:pt idx="39">
                  <c:v>1845</c:v>
                </c:pt>
                <c:pt idx="40">
                  <c:v>1080</c:v>
                </c:pt>
                <c:pt idx="41">
                  <c:v>541</c:v>
                </c:pt>
                <c:pt idx="42">
                  <c:v>1656</c:v>
                </c:pt>
                <c:pt idx="43">
                  <c:v>1224</c:v>
                </c:pt>
                <c:pt idx="44">
                  <c:v>461</c:v>
                </c:pt>
                <c:pt idx="45">
                  <c:v>377</c:v>
                </c:pt>
                <c:pt idx="46">
                  <c:v>-219</c:v>
                </c:pt>
                <c:pt idx="47">
                  <c:v>352</c:v>
                </c:pt>
                <c:pt idx="48">
                  <c:v>-49</c:v>
                </c:pt>
                <c:pt idx="49">
                  <c:v>-160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9-44DD-B449-FD7C355DE750}"/>
            </c:ext>
          </c:extLst>
        </c:ser>
        <c:ser>
          <c:idx val="2"/>
          <c:order val="2"/>
          <c:tx>
            <c:strRef>
              <c:f>'6.Follower Retention &amp; Loy'!$D$7:$D$8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'6.Follower Retention &amp; Loy'!$A$9:$A$59</c:f>
              <c:strCache>
                <c:ptCount val="50"/>
                <c:pt idx="0">
                  <c:v>30/12/2024</c:v>
                </c:pt>
                <c:pt idx="1">
                  <c:v>10/02/2025</c:v>
                </c:pt>
                <c:pt idx="2">
                  <c:v>16/12/2024</c:v>
                </c:pt>
                <c:pt idx="3">
                  <c:v>24/02/2025</c:v>
                </c:pt>
                <c:pt idx="4">
                  <c:v>02/12/2024</c:v>
                </c:pt>
                <c:pt idx="5">
                  <c:v>09/12/2024</c:v>
                </c:pt>
                <c:pt idx="6">
                  <c:v>05/05/2025</c:v>
                </c:pt>
                <c:pt idx="7">
                  <c:v>04/11/2024</c:v>
                </c:pt>
                <c:pt idx="8">
                  <c:v>09/09/2024</c:v>
                </c:pt>
                <c:pt idx="9">
                  <c:v>31/03/2025</c:v>
                </c:pt>
                <c:pt idx="10">
                  <c:v>17/03/2025</c:v>
                </c:pt>
                <c:pt idx="11">
                  <c:v>21/04/2025</c:v>
                </c:pt>
                <c:pt idx="12">
                  <c:v>25/11/2024</c:v>
                </c:pt>
                <c:pt idx="13">
                  <c:v>23/12/2024</c:v>
                </c:pt>
                <c:pt idx="14">
                  <c:v>17/06/2024</c:v>
                </c:pt>
                <c:pt idx="15">
                  <c:v>07/10/2024</c:v>
                </c:pt>
                <c:pt idx="16">
                  <c:v>12/08/2024</c:v>
                </c:pt>
                <c:pt idx="17">
                  <c:v>10/03/2025</c:v>
                </c:pt>
                <c:pt idx="18">
                  <c:v>17/02/2025</c:v>
                </c:pt>
                <c:pt idx="19">
                  <c:v>20/01/2025</c:v>
                </c:pt>
                <c:pt idx="20">
                  <c:v>28/04/2025</c:v>
                </c:pt>
                <c:pt idx="21">
                  <c:v>06/01/2025</c:v>
                </c:pt>
                <c:pt idx="22">
                  <c:v>03/06/2024</c:v>
                </c:pt>
                <c:pt idx="23">
                  <c:v>27/01/2025</c:v>
                </c:pt>
                <c:pt idx="24">
                  <c:v>23/09/2024</c:v>
                </c:pt>
                <c:pt idx="25">
                  <c:v>30/09/2024</c:v>
                </c:pt>
                <c:pt idx="26">
                  <c:v>08/07/2024</c:v>
                </c:pt>
                <c:pt idx="27">
                  <c:v>24/06/2024</c:v>
                </c:pt>
                <c:pt idx="28">
                  <c:v>19/08/2024</c:v>
                </c:pt>
                <c:pt idx="29">
                  <c:v>10/06/2024</c:v>
                </c:pt>
                <c:pt idx="30">
                  <c:v>26/08/2024</c:v>
                </c:pt>
                <c:pt idx="31">
                  <c:v>02/09/2024</c:v>
                </c:pt>
                <c:pt idx="32">
                  <c:v>21/10/2024</c:v>
                </c:pt>
                <c:pt idx="33">
                  <c:v>13/01/2025</c:v>
                </c:pt>
                <c:pt idx="34">
                  <c:v>22/07/2024</c:v>
                </c:pt>
                <c:pt idx="35">
                  <c:v>28/10/2024</c:v>
                </c:pt>
                <c:pt idx="36">
                  <c:v>07/04/2025</c:v>
                </c:pt>
                <c:pt idx="37">
                  <c:v>03/03/2025</c:v>
                </c:pt>
                <c:pt idx="38">
                  <c:v>11/11/2024</c:v>
                </c:pt>
                <c:pt idx="39">
                  <c:v>15/07/2024</c:v>
                </c:pt>
                <c:pt idx="40">
                  <c:v>03/02/2025</c:v>
                </c:pt>
                <c:pt idx="41">
                  <c:v>29/07/2024</c:v>
                </c:pt>
                <c:pt idx="42">
                  <c:v>12/05/2025</c:v>
                </c:pt>
                <c:pt idx="43">
                  <c:v>14/10/2024</c:v>
                </c:pt>
                <c:pt idx="44">
                  <c:v>24/03/2025</c:v>
                </c:pt>
                <c:pt idx="45">
                  <c:v>16/09/2024</c:v>
                </c:pt>
                <c:pt idx="46">
                  <c:v>01/07/2024</c:v>
                </c:pt>
                <c:pt idx="47">
                  <c:v>05/08/2024</c:v>
                </c:pt>
                <c:pt idx="48">
                  <c:v>18/11/2024</c:v>
                </c:pt>
                <c:pt idx="49">
                  <c:v>14/04/2025</c:v>
                </c:pt>
              </c:strCache>
            </c:strRef>
          </c:cat>
          <c:val>
            <c:numRef>
              <c:f>'6.Follower Retention &amp; Loy'!$D$9:$D$59</c:f>
              <c:numCache>
                <c:formatCode>General</c:formatCode>
                <c:ptCount val="50"/>
                <c:pt idx="0">
                  <c:v>1529</c:v>
                </c:pt>
                <c:pt idx="1">
                  <c:v>1202</c:v>
                </c:pt>
                <c:pt idx="2">
                  <c:v>1359</c:v>
                </c:pt>
                <c:pt idx="3">
                  <c:v>708</c:v>
                </c:pt>
                <c:pt idx="4">
                  <c:v>1173</c:v>
                </c:pt>
                <c:pt idx="5">
                  <c:v>1727</c:v>
                </c:pt>
                <c:pt idx="6">
                  <c:v>1510</c:v>
                </c:pt>
                <c:pt idx="7">
                  <c:v>1603</c:v>
                </c:pt>
                <c:pt idx="8">
                  <c:v>260</c:v>
                </c:pt>
                <c:pt idx="9">
                  <c:v>1676</c:v>
                </c:pt>
                <c:pt idx="10">
                  <c:v>861</c:v>
                </c:pt>
                <c:pt idx="11">
                  <c:v>759</c:v>
                </c:pt>
                <c:pt idx="12">
                  <c:v>98</c:v>
                </c:pt>
                <c:pt idx="13">
                  <c:v>911</c:v>
                </c:pt>
                <c:pt idx="14">
                  <c:v>1295</c:v>
                </c:pt>
                <c:pt idx="15">
                  <c:v>107</c:v>
                </c:pt>
                <c:pt idx="16">
                  <c:v>37</c:v>
                </c:pt>
                <c:pt idx="17">
                  <c:v>1350</c:v>
                </c:pt>
                <c:pt idx="18">
                  <c:v>-37</c:v>
                </c:pt>
                <c:pt idx="19">
                  <c:v>891</c:v>
                </c:pt>
                <c:pt idx="20">
                  <c:v>948</c:v>
                </c:pt>
                <c:pt idx="21">
                  <c:v>1188</c:v>
                </c:pt>
                <c:pt idx="22">
                  <c:v>415</c:v>
                </c:pt>
                <c:pt idx="23">
                  <c:v>1426</c:v>
                </c:pt>
                <c:pt idx="24">
                  <c:v>1680</c:v>
                </c:pt>
                <c:pt idx="25">
                  <c:v>599</c:v>
                </c:pt>
                <c:pt idx="26">
                  <c:v>547</c:v>
                </c:pt>
                <c:pt idx="27">
                  <c:v>835</c:v>
                </c:pt>
                <c:pt idx="28">
                  <c:v>1665</c:v>
                </c:pt>
                <c:pt idx="29">
                  <c:v>186</c:v>
                </c:pt>
                <c:pt idx="30">
                  <c:v>1229</c:v>
                </c:pt>
                <c:pt idx="31">
                  <c:v>197</c:v>
                </c:pt>
                <c:pt idx="32">
                  <c:v>636</c:v>
                </c:pt>
                <c:pt idx="33">
                  <c:v>-144</c:v>
                </c:pt>
                <c:pt idx="34">
                  <c:v>1316</c:v>
                </c:pt>
                <c:pt idx="35">
                  <c:v>37</c:v>
                </c:pt>
                <c:pt idx="36">
                  <c:v>1007</c:v>
                </c:pt>
                <c:pt idx="37">
                  <c:v>899</c:v>
                </c:pt>
                <c:pt idx="38">
                  <c:v>1150</c:v>
                </c:pt>
                <c:pt idx="39">
                  <c:v>429</c:v>
                </c:pt>
                <c:pt idx="40">
                  <c:v>569</c:v>
                </c:pt>
                <c:pt idx="41">
                  <c:v>1495</c:v>
                </c:pt>
                <c:pt idx="42">
                  <c:v>269</c:v>
                </c:pt>
                <c:pt idx="43">
                  <c:v>-20</c:v>
                </c:pt>
                <c:pt idx="44">
                  <c:v>292</c:v>
                </c:pt>
                <c:pt idx="45">
                  <c:v>1125</c:v>
                </c:pt>
                <c:pt idx="46">
                  <c:v>1357</c:v>
                </c:pt>
                <c:pt idx="47">
                  <c:v>328</c:v>
                </c:pt>
                <c:pt idx="48">
                  <c:v>445</c:v>
                </c:pt>
                <c:pt idx="4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9-44DD-B449-FD7C355DE750}"/>
            </c:ext>
          </c:extLst>
        </c:ser>
        <c:ser>
          <c:idx val="3"/>
          <c:order val="3"/>
          <c:tx>
            <c:strRef>
              <c:f>'6.Follower Retention &amp; Loy'!$E$7:$E$8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'6.Follower Retention &amp; Loy'!$A$9:$A$59</c:f>
              <c:strCache>
                <c:ptCount val="50"/>
                <c:pt idx="0">
                  <c:v>30/12/2024</c:v>
                </c:pt>
                <c:pt idx="1">
                  <c:v>10/02/2025</c:v>
                </c:pt>
                <c:pt idx="2">
                  <c:v>16/12/2024</c:v>
                </c:pt>
                <c:pt idx="3">
                  <c:v>24/02/2025</c:v>
                </c:pt>
                <c:pt idx="4">
                  <c:v>02/12/2024</c:v>
                </c:pt>
                <c:pt idx="5">
                  <c:v>09/12/2024</c:v>
                </c:pt>
                <c:pt idx="6">
                  <c:v>05/05/2025</c:v>
                </c:pt>
                <c:pt idx="7">
                  <c:v>04/11/2024</c:v>
                </c:pt>
                <c:pt idx="8">
                  <c:v>09/09/2024</c:v>
                </c:pt>
                <c:pt idx="9">
                  <c:v>31/03/2025</c:v>
                </c:pt>
                <c:pt idx="10">
                  <c:v>17/03/2025</c:v>
                </c:pt>
                <c:pt idx="11">
                  <c:v>21/04/2025</c:v>
                </c:pt>
                <c:pt idx="12">
                  <c:v>25/11/2024</c:v>
                </c:pt>
                <c:pt idx="13">
                  <c:v>23/12/2024</c:v>
                </c:pt>
                <c:pt idx="14">
                  <c:v>17/06/2024</c:v>
                </c:pt>
                <c:pt idx="15">
                  <c:v>07/10/2024</c:v>
                </c:pt>
                <c:pt idx="16">
                  <c:v>12/08/2024</c:v>
                </c:pt>
                <c:pt idx="17">
                  <c:v>10/03/2025</c:v>
                </c:pt>
                <c:pt idx="18">
                  <c:v>17/02/2025</c:v>
                </c:pt>
                <c:pt idx="19">
                  <c:v>20/01/2025</c:v>
                </c:pt>
                <c:pt idx="20">
                  <c:v>28/04/2025</c:v>
                </c:pt>
                <c:pt idx="21">
                  <c:v>06/01/2025</c:v>
                </c:pt>
                <c:pt idx="22">
                  <c:v>03/06/2024</c:v>
                </c:pt>
                <c:pt idx="23">
                  <c:v>27/01/2025</c:v>
                </c:pt>
                <c:pt idx="24">
                  <c:v>23/09/2024</c:v>
                </c:pt>
                <c:pt idx="25">
                  <c:v>30/09/2024</c:v>
                </c:pt>
                <c:pt idx="26">
                  <c:v>08/07/2024</c:v>
                </c:pt>
                <c:pt idx="27">
                  <c:v>24/06/2024</c:v>
                </c:pt>
                <c:pt idx="28">
                  <c:v>19/08/2024</c:v>
                </c:pt>
                <c:pt idx="29">
                  <c:v>10/06/2024</c:v>
                </c:pt>
                <c:pt idx="30">
                  <c:v>26/08/2024</c:v>
                </c:pt>
                <c:pt idx="31">
                  <c:v>02/09/2024</c:v>
                </c:pt>
                <c:pt idx="32">
                  <c:v>21/10/2024</c:v>
                </c:pt>
                <c:pt idx="33">
                  <c:v>13/01/2025</c:v>
                </c:pt>
                <c:pt idx="34">
                  <c:v>22/07/2024</c:v>
                </c:pt>
                <c:pt idx="35">
                  <c:v>28/10/2024</c:v>
                </c:pt>
                <c:pt idx="36">
                  <c:v>07/04/2025</c:v>
                </c:pt>
                <c:pt idx="37">
                  <c:v>03/03/2025</c:v>
                </c:pt>
                <c:pt idx="38">
                  <c:v>11/11/2024</c:v>
                </c:pt>
                <c:pt idx="39">
                  <c:v>15/07/2024</c:v>
                </c:pt>
                <c:pt idx="40">
                  <c:v>03/02/2025</c:v>
                </c:pt>
                <c:pt idx="41">
                  <c:v>29/07/2024</c:v>
                </c:pt>
                <c:pt idx="42">
                  <c:v>12/05/2025</c:v>
                </c:pt>
                <c:pt idx="43">
                  <c:v>14/10/2024</c:v>
                </c:pt>
                <c:pt idx="44">
                  <c:v>24/03/2025</c:v>
                </c:pt>
                <c:pt idx="45">
                  <c:v>16/09/2024</c:v>
                </c:pt>
                <c:pt idx="46">
                  <c:v>01/07/2024</c:v>
                </c:pt>
                <c:pt idx="47">
                  <c:v>05/08/2024</c:v>
                </c:pt>
                <c:pt idx="48">
                  <c:v>18/11/2024</c:v>
                </c:pt>
                <c:pt idx="49">
                  <c:v>14/04/2025</c:v>
                </c:pt>
              </c:strCache>
            </c:strRef>
          </c:cat>
          <c:val>
            <c:numRef>
              <c:f>'6.Follower Retention &amp; Loy'!$E$9:$E$59</c:f>
              <c:numCache>
                <c:formatCode>General</c:formatCode>
                <c:ptCount val="50"/>
                <c:pt idx="0">
                  <c:v>1460</c:v>
                </c:pt>
                <c:pt idx="1">
                  <c:v>1444</c:v>
                </c:pt>
                <c:pt idx="2">
                  <c:v>876</c:v>
                </c:pt>
                <c:pt idx="3">
                  <c:v>1016</c:v>
                </c:pt>
                <c:pt idx="4">
                  <c:v>291</c:v>
                </c:pt>
                <c:pt idx="5">
                  <c:v>573</c:v>
                </c:pt>
                <c:pt idx="6">
                  <c:v>864</c:v>
                </c:pt>
                <c:pt idx="7">
                  <c:v>1044</c:v>
                </c:pt>
                <c:pt idx="8">
                  <c:v>1100</c:v>
                </c:pt>
                <c:pt idx="9">
                  <c:v>1467</c:v>
                </c:pt>
                <c:pt idx="10">
                  <c:v>1385</c:v>
                </c:pt>
                <c:pt idx="11">
                  <c:v>1633</c:v>
                </c:pt>
                <c:pt idx="12">
                  <c:v>885</c:v>
                </c:pt>
                <c:pt idx="13">
                  <c:v>1589</c:v>
                </c:pt>
                <c:pt idx="14">
                  <c:v>337</c:v>
                </c:pt>
                <c:pt idx="15">
                  <c:v>118</c:v>
                </c:pt>
                <c:pt idx="16">
                  <c:v>1032</c:v>
                </c:pt>
                <c:pt idx="17">
                  <c:v>1242</c:v>
                </c:pt>
                <c:pt idx="18">
                  <c:v>1175</c:v>
                </c:pt>
                <c:pt idx="19">
                  <c:v>724</c:v>
                </c:pt>
                <c:pt idx="20">
                  <c:v>637</c:v>
                </c:pt>
                <c:pt idx="21">
                  <c:v>846</c:v>
                </c:pt>
                <c:pt idx="22">
                  <c:v>1090</c:v>
                </c:pt>
                <c:pt idx="23">
                  <c:v>1225</c:v>
                </c:pt>
                <c:pt idx="24">
                  <c:v>1006</c:v>
                </c:pt>
                <c:pt idx="25">
                  <c:v>1706</c:v>
                </c:pt>
                <c:pt idx="26">
                  <c:v>514</c:v>
                </c:pt>
                <c:pt idx="27">
                  <c:v>-123</c:v>
                </c:pt>
                <c:pt idx="28">
                  <c:v>190</c:v>
                </c:pt>
                <c:pt idx="29">
                  <c:v>994</c:v>
                </c:pt>
                <c:pt idx="30">
                  <c:v>28</c:v>
                </c:pt>
                <c:pt idx="31">
                  <c:v>333</c:v>
                </c:pt>
                <c:pt idx="32">
                  <c:v>1484</c:v>
                </c:pt>
                <c:pt idx="33">
                  <c:v>901</c:v>
                </c:pt>
                <c:pt idx="34">
                  <c:v>317</c:v>
                </c:pt>
                <c:pt idx="35">
                  <c:v>1657</c:v>
                </c:pt>
                <c:pt idx="36">
                  <c:v>209</c:v>
                </c:pt>
                <c:pt idx="37">
                  <c:v>315</c:v>
                </c:pt>
                <c:pt idx="38">
                  <c:v>349</c:v>
                </c:pt>
                <c:pt idx="39">
                  <c:v>160</c:v>
                </c:pt>
                <c:pt idx="40">
                  <c:v>-203</c:v>
                </c:pt>
                <c:pt idx="41">
                  <c:v>475</c:v>
                </c:pt>
                <c:pt idx="42">
                  <c:v>-337</c:v>
                </c:pt>
                <c:pt idx="43">
                  <c:v>367</c:v>
                </c:pt>
                <c:pt idx="44">
                  <c:v>389</c:v>
                </c:pt>
                <c:pt idx="45">
                  <c:v>-32</c:v>
                </c:pt>
                <c:pt idx="46">
                  <c:v>91</c:v>
                </c:pt>
                <c:pt idx="47">
                  <c:v>319</c:v>
                </c:pt>
                <c:pt idx="48">
                  <c:v>60</c:v>
                </c:pt>
                <c:pt idx="4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69-44DD-B449-FD7C355DE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79711"/>
        <c:axId val="455484031"/>
      </c:lineChart>
      <c:catAx>
        <c:axId val="45547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84031"/>
        <c:crosses val="autoZero"/>
        <c:auto val="1"/>
        <c:lblAlgn val="ctr"/>
        <c:lblOffset val="100"/>
        <c:noMultiLvlLbl val="0"/>
      </c:catAx>
      <c:valAx>
        <c:axId val="4554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7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[MyntraProject_KireetiAvula.xlsx]6.Follower Retention &amp; Loy!PivotTable5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ad spend vs followers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lineMarker"/>
        <c:varyColors val="0"/>
        <c:ser>
          <c:idx val="0"/>
          <c:order val="0"/>
          <c:tx>
            <c:strRef>
              <c:f>'6.Follower Retention &amp; Loy'!$I$25</c:f>
              <c:strCache>
                <c:ptCount val="1"/>
                <c:pt idx="0">
                  <c:v>Average of Ad_Spend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'6.Follower Retention &amp; Loy'!$H$26:$H$30</c:f>
            </c:numRef>
          </c:xVal>
          <c:yVal>
            <c:numRef>
              <c:f>'6.Follower Retention &amp; Loy'!$I$26:$I$30</c:f>
              <c:numCache>
                <c:formatCode>General</c:formatCode>
                <c:ptCount val="4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15-4963-8E6D-B2291B59B2A2}"/>
            </c:ext>
          </c:extLst>
        </c:ser>
        <c:ser>
          <c:idx val="1"/>
          <c:order val="1"/>
          <c:tx>
            <c:strRef>
              <c:f>'6.Follower Retention &amp; Loy'!$J$25</c:f>
              <c:strCache>
                <c:ptCount val="1"/>
                <c:pt idx="0">
                  <c:v>Average of Follower_Growth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'6.Follower Retention &amp; Loy'!$H$26:$H$30</c:f>
            </c:numRef>
          </c:xVal>
          <c:yVal>
            <c:numRef>
              <c:f>'6.Follower Retention &amp; Loy'!$J$26:$J$30</c:f>
              <c:numCache>
                <c:formatCode>General</c:formatCode>
                <c:ptCount val="4"/>
                <c:pt idx="0">
                  <c:v>711.14</c:v>
                </c:pt>
                <c:pt idx="1">
                  <c:v>960.08</c:v>
                </c:pt>
                <c:pt idx="2">
                  <c:v>823.54</c:v>
                </c:pt>
                <c:pt idx="3">
                  <c:v>707.34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15-4963-8E6D-B2291B59B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114376"/>
        <c:axId val="474369544"/>
      </c:scatterChart>
      <c:valAx>
        <c:axId val="186111437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369544"/>
        <c:crosses val="autoZero"/>
        <c:crossBetween val="midCat"/>
      </c:valAx>
      <c:valAx>
        <c:axId val="47436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14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76200</xdr:rowOff>
    </xdr:from>
    <xdr:to>
      <xdr:col>5</xdr:col>
      <xdr:colOff>495300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B8A584-7A03-3973-AAC9-848E15867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5</xdr:row>
      <xdr:rowOff>76200</xdr:rowOff>
    </xdr:from>
    <xdr:to>
      <xdr:col>9</xdr:col>
      <xdr:colOff>409575</xdr:colOff>
      <xdr:row>16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3FE8FB-3E62-3A4E-DA19-5E873158D639}"/>
            </a:ext>
            <a:ext uri="{147F2762-F138-4A5C-976F-8EAC2B608ADB}">
              <a16:predDERef xmlns:a16="http://schemas.microsoft.com/office/drawing/2014/main" pred="{67B8A584-7A03-3973-AAC9-848E15867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30</xdr:row>
      <xdr:rowOff>142875</xdr:rowOff>
    </xdr:from>
    <xdr:to>
      <xdr:col>6</xdr:col>
      <xdr:colOff>9525</xdr:colOff>
      <xdr:row>42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C40BD4-975C-3800-E123-F2134E17B4FA}"/>
            </a:ext>
            <a:ext uri="{147F2762-F138-4A5C-976F-8EAC2B608ADB}">
              <a16:predDERef xmlns:a16="http://schemas.microsoft.com/office/drawing/2014/main" pred="{5A3FE8FB-3E62-3A4E-DA19-5E873158D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15</xdr:row>
      <xdr:rowOff>38100</xdr:rowOff>
    </xdr:from>
    <xdr:to>
      <xdr:col>4</xdr:col>
      <xdr:colOff>1009650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55864-FBB1-DA3E-62CE-6C39629C7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6</xdr:row>
      <xdr:rowOff>9525</xdr:rowOff>
    </xdr:from>
    <xdr:to>
      <xdr:col>12</xdr:col>
      <xdr:colOff>552450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A87E1-3E9A-E391-7DDF-1F925BC1C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31</xdr:row>
      <xdr:rowOff>28575</xdr:rowOff>
    </xdr:from>
    <xdr:to>
      <xdr:col>10</xdr:col>
      <xdr:colOff>895350</xdr:colOff>
      <xdr:row>46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559367-9DD8-C1A3-2D67-2F7529F255DD}"/>
            </a:ext>
            <a:ext uri="{147F2762-F138-4A5C-976F-8EAC2B608ADB}">
              <a16:predDERef xmlns:a16="http://schemas.microsoft.com/office/drawing/2014/main" pred="{B8CA87E1-3E9A-E391-7DDF-1F925BC1C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838841203702" createdVersion="8" refreshedVersion="8" minRefreshableVersion="3" recordCount="300" xr:uid="{50F561A1-6853-4E0F-A30F-EBC4E27477AB}">
  <cacheSource type="worksheet">
    <worksheetSource name="Post"/>
  </cacheSource>
  <cacheFields count="20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 count="5">
        <s v="MyntraSale"/>
        <s v="MyntraFashion"/>
        <s v="StyleWithMyntra"/>
        <s v="MyntraTrend"/>
        <s v="FashionDeals"/>
      </sharedItems>
    </cacheField>
    <cacheField name="Hashtags Used.2" numFmtId="0">
      <sharedItems containsBlank="1"/>
    </cacheField>
    <cacheField name="Hashtags" numFmtId="0">
      <sharedItems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Engagement_Rate" numFmtId="10">
      <sharedItems containsSemiMixedTypes="0" containsString="0" containsNumber="1" minValue="5.2551586421122697E-2" maxValue="1.8129251700680271"/>
    </cacheField>
    <cacheField name="Total_Engagement" numFmtId="0">
      <sharedItems containsSemiMixedTypes="0" containsString="0" containsNumber="1" containsInteger="1" minValue="315" maxValue="6278"/>
    </cacheField>
    <cacheField name="Start_Date" numFmtId="14">
      <sharedItems containsSemiMixedTypes="0" containsNonDate="0" containsDate="1" containsString="0" minDate="2024-06-10T00:00:00" maxDate="2025-01-11T00:00:00"/>
    </cacheField>
    <cacheField name="End_Date" numFmtId="14">
      <sharedItems containsSemiMixedTypes="0" containsNonDate="0" containsDate="1" containsString="0" minDate="2024-07-05T00:00:00" maxDate="2025-02-11T00:00:00"/>
    </cacheField>
    <cacheField name="Campaign_Phase" numFmtId="0">
      <sharedItems count="2">
        <s v="Before"/>
        <s v="Du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4.838841203702" createdVersion="8" refreshedVersion="8" minRefreshableVersion="3" recordCount="200" xr:uid="{4CC45FD3-98D8-4EC2-9514-C0F229E1949E}">
  <cacheSource type="worksheet">
    <worksheetSource name="Engagment_Summary_1"/>
  </cacheSource>
  <cacheFields count="8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Follower_Growth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 pivotCacheId="15023269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x v="0"/>
    <m/>
    <s v="MyntraSale"/>
    <x v="0"/>
    <n v="9.0759753593429152E-2"/>
    <n v="1989"/>
    <d v="2024-08-01T00:00:00"/>
    <d v="2024-08-31T00:00:00"/>
    <x v="0"/>
  </r>
  <r>
    <s v="P002"/>
    <x v="0"/>
    <d v="2025-04-03T00:00:00"/>
    <x v="1"/>
    <s v="Explore the latest text on Myntra! Trendy styles await."/>
    <n v="4054"/>
    <n v="389"/>
    <n v="493"/>
    <n v="64864"/>
    <n v="64383"/>
    <n v="117"/>
    <x v="1"/>
    <m/>
    <s v="MyntraFashion"/>
    <x v="1"/>
    <n v="7.6097681302417369E-2"/>
    <n v="4936"/>
    <d v="2024-06-10T00:00:00"/>
    <d v="2024-07-05T00:00:00"/>
    <x v="0"/>
  </r>
  <r>
    <s v="P003"/>
    <x v="1"/>
    <d v="2025-05-12T00:00:00"/>
    <x v="0"/>
    <s v="Explore the latest reel on Myntra! Trendy styles await."/>
    <n v="2795"/>
    <n v="105"/>
    <n v="49"/>
    <n v="53105"/>
    <n v="52307"/>
    <n v="204"/>
    <x v="1"/>
    <s v="MyntraSale"/>
    <s v="MyntraFashion,MyntraSale"/>
    <x v="0"/>
    <n v="5.5531494209584788E-2"/>
    <n v="2949"/>
    <d v="2024-08-01T00:00:00"/>
    <d v="2024-08-31T00:00:00"/>
    <x v="0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x v="0"/>
    <m/>
    <s v="MyntraSale"/>
    <x v="0"/>
    <n v="0.15105033277870217"/>
    <n v="2905"/>
    <d v="2024-08-01T00:00:00"/>
    <d v="2024-08-31T00:00:00"/>
    <x v="1"/>
  </r>
  <r>
    <s v="P005"/>
    <x v="1"/>
    <d v="2024-06-26T00:00:00"/>
    <x v="0"/>
    <s v="Explore the latest reel on Myntra! Trendy styles await."/>
    <n v="3557"/>
    <n v="687"/>
    <n v="424"/>
    <n v="71140"/>
    <n v="70701"/>
    <n v="224"/>
    <x v="2"/>
    <s v="MyntraFashion"/>
    <s v="StyleWithMyntra,MyntraFashion"/>
    <x v="2"/>
    <n v="6.5617093055946027E-2"/>
    <n v="4668"/>
    <d v="2024-10-05T00:00:00"/>
    <d v="2024-11-05T00:00:00"/>
    <x v="0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x v="3"/>
    <m/>
    <s v="MyntraTrend"/>
    <x v="1"/>
    <n v="0.17954159592529711"/>
    <n v="4230"/>
    <d v="2024-06-10T00:00:00"/>
    <d v="2024-07-05T00:00:00"/>
    <x v="0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x v="3"/>
    <m/>
    <s v="MyntraTrend"/>
    <x v="2"/>
    <n v="7.0272020725388601E-2"/>
    <n v="4340"/>
    <d v="2024-10-05T00:00:00"/>
    <d v="2024-11-05T00:00:00"/>
    <x v="0"/>
  </r>
  <r>
    <s v="P008"/>
    <x v="1"/>
    <d v="2024-07-13T00:00:00"/>
    <x v="4"/>
    <s v="Explore the latest image on Myntra! Trendy styles await."/>
    <n v="3929"/>
    <n v="262"/>
    <n v="278"/>
    <n v="43219"/>
    <n v="42841"/>
    <n v="39"/>
    <x v="1"/>
    <s v="MyntraSale"/>
    <s v="MyntraFashion,MyntraSale"/>
    <x v="2"/>
    <n v="0.10340359564080613"/>
    <n v="4469"/>
    <d v="2024-10-05T00:00:00"/>
    <d v="2024-11-05T00:00:00"/>
    <x v="0"/>
  </r>
  <r>
    <s v="P009"/>
    <x v="3"/>
    <d v="2024-08-30T00:00:00"/>
    <x v="1"/>
    <s v="Explore the latest text on Myntra! Trendy styles await."/>
    <n v="3784"/>
    <n v="808"/>
    <n v="404"/>
    <n v="56760"/>
    <n v="56343"/>
    <n v="131"/>
    <x v="1"/>
    <s v="MyntraSale"/>
    <s v="MyntraFashion,MyntraSale"/>
    <x v="2"/>
    <n v="8.8019732205778717E-2"/>
    <n v="4996"/>
    <d v="2024-10-05T00:00:00"/>
    <d v="2024-11-05T00:00:00"/>
    <x v="0"/>
  </r>
  <r>
    <s v="P010"/>
    <x v="3"/>
    <d v="2025-03-11T00:00:00"/>
    <x v="4"/>
    <s v="Explore the latest image on Myntra! Trendy styles await."/>
    <n v="4241"/>
    <n v="902"/>
    <n v="47"/>
    <n v="72097"/>
    <n v="71598"/>
    <n v="167"/>
    <x v="3"/>
    <m/>
    <s v="MyntraTrend"/>
    <x v="3"/>
    <n v="7.198635172059864E-2"/>
    <n v="5190"/>
    <d v="2025-01-10T00:00:00"/>
    <d v="2025-02-10T00:00:00"/>
    <x v="0"/>
  </r>
  <r>
    <s v="P011"/>
    <x v="2"/>
    <d v="2025-02-02T00:00:00"/>
    <x v="2"/>
    <s v="Explore the latest story on Myntra! Trendy styles await."/>
    <n v="1792"/>
    <n v="614"/>
    <n v="497"/>
    <n v="25088"/>
    <n v="24675"/>
    <n v="65"/>
    <x v="2"/>
    <m/>
    <s v="StyleWithMyntra"/>
    <x v="0"/>
    <n v="0.11571269132653061"/>
    <n v="2903"/>
    <d v="2024-08-01T00:00:00"/>
    <d v="2024-08-31T00:00:00"/>
    <x v="0"/>
  </r>
  <r>
    <s v="P012"/>
    <x v="3"/>
    <d v="2024-07-21T00:00:00"/>
    <x v="0"/>
    <s v="Explore the latest reel on Myntra! Trendy styles await."/>
    <n v="1946"/>
    <n v="686"/>
    <n v="377"/>
    <n v="23352"/>
    <n v="22982"/>
    <n v="213"/>
    <x v="2"/>
    <s v="MyntraSale"/>
    <s v="StyleWithMyntra,MyntraSale"/>
    <x v="2"/>
    <n v="0.12885405960945528"/>
    <n v="3009"/>
    <d v="2024-10-05T00:00:00"/>
    <d v="2024-11-05T00:00:00"/>
    <x v="0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x v="1"/>
    <m/>
    <s v="MyntraFashion"/>
    <x v="3"/>
    <n v="7.5868578363072495E-2"/>
    <n v="1688"/>
    <d v="2025-01-10T00:00:00"/>
    <d v="2025-02-10T00:00:00"/>
    <x v="0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x v="0"/>
    <s v="MyntraFashion"/>
    <s v="MyntraSale,MyntraFashion"/>
    <x v="2"/>
    <n v="0.14521452145214522"/>
    <n v="4928"/>
    <d v="2024-10-05T00:00:00"/>
    <d v="2024-11-05T00:00:00"/>
    <x v="0"/>
  </r>
  <r>
    <s v="P015"/>
    <x v="3"/>
    <d v="2024-10-24T00:00:00"/>
    <x v="5"/>
    <s v="Explore the latest video on Myntra! Trendy styles await."/>
    <n v="3888"/>
    <n v="604"/>
    <n v="128"/>
    <n v="77760"/>
    <n v="77167"/>
    <n v="20"/>
    <x v="1"/>
    <s v="FashionDeals"/>
    <s v="MyntraFashion,FashionDeals"/>
    <x v="0"/>
    <n v="5.941358024691358E-2"/>
    <n v="4620"/>
    <d v="2024-08-01T00:00:00"/>
    <d v="2024-08-31T00:00:00"/>
    <x v="0"/>
  </r>
  <r>
    <s v="P016"/>
    <x v="3"/>
    <d v="2024-08-26T00:00:00"/>
    <x v="1"/>
    <s v="Explore the latest text on Myntra! Trendy styles await."/>
    <n v="3452"/>
    <n v="377"/>
    <n v="360"/>
    <n v="55232"/>
    <n v="55075"/>
    <n v="87"/>
    <x v="0"/>
    <s v="FashionDeals"/>
    <s v="MyntraSale,FashionDeals"/>
    <x v="2"/>
    <n v="7.5843713789107758E-2"/>
    <n v="4189"/>
    <d v="2024-10-05T00:00:00"/>
    <d v="2024-11-05T00:00:00"/>
    <x v="0"/>
  </r>
  <r>
    <s v="P017"/>
    <x v="3"/>
    <d v="2025-05-05T00:00:00"/>
    <x v="1"/>
    <s v="Explore the latest text on Myntra! Trendy styles await."/>
    <n v="4441"/>
    <n v="511"/>
    <n v="70"/>
    <n v="53292"/>
    <n v="53082"/>
    <n v="159"/>
    <x v="4"/>
    <m/>
    <s v="FashionDeals"/>
    <x v="2"/>
    <n v="9.4235532537716729E-2"/>
    <n v="5022"/>
    <d v="2024-10-05T00:00:00"/>
    <d v="2024-11-05T00:00:00"/>
    <x v="0"/>
  </r>
  <r>
    <s v="P018"/>
    <x v="2"/>
    <d v="2024-08-19T00:00:00"/>
    <x v="0"/>
    <s v="Explore the latest reel on Myntra! Trendy styles await."/>
    <n v="3000"/>
    <n v="382"/>
    <n v="325"/>
    <n v="36000"/>
    <n v="35819"/>
    <n v="19"/>
    <x v="2"/>
    <m/>
    <s v="StyleWithMyntra"/>
    <x v="1"/>
    <n v="0.10297222222222223"/>
    <n v="3707"/>
    <d v="2024-06-10T00:00:00"/>
    <d v="2024-07-05T00:00:00"/>
    <x v="0"/>
  </r>
  <r>
    <s v="P019"/>
    <x v="2"/>
    <d v="2024-06-23T00:00:00"/>
    <x v="5"/>
    <s v="Explore the latest video on Myntra! Trendy styles await."/>
    <n v="1071"/>
    <n v="519"/>
    <n v="22"/>
    <n v="16065"/>
    <n v="15865"/>
    <n v="103"/>
    <x v="0"/>
    <s v="StyleWithMyntra"/>
    <s v="MyntraSale,StyleWithMyntra"/>
    <x v="2"/>
    <n v="0.10034235916588857"/>
    <n v="1612"/>
    <d v="2024-10-05T00:00:00"/>
    <d v="2024-11-05T00:00:00"/>
    <x v="0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x v="1"/>
    <s v="MyntraSale"/>
    <s v="MyntraFashion,MyntraSale"/>
    <x v="2"/>
    <n v="6.3809622724794221E-2"/>
    <n v="4915"/>
    <d v="2024-10-05T00:00:00"/>
    <d v="2024-11-05T00:00:00"/>
    <x v="0"/>
  </r>
  <r>
    <s v="P021"/>
    <x v="2"/>
    <d v="2025-01-04T00:00:00"/>
    <x v="0"/>
    <s v="Explore the latest reel on Myntra! Trendy styles await."/>
    <n v="4838"/>
    <n v="640"/>
    <n v="128"/>
    <n v="72570"/>
    <n v="72396"/>
    <n v="83"/>
    <x v="2"/>
    <s v="MyntraTrend"/>
    <s v="StyleWithMyntra,MyntraTrend"/>
    <x v="2"/>
    <n v="7.7249552156538517E-2"/>
    <n v="5606"/>
    <d v="2024-10-05T00:00:00"/>
    <d v="2024-11-05T00:00:00"/>
    <x v="0"/>
  </r>
  <r>
    <s v="P022"/>
    <x v="3"/>
    <d v="2025-02-27T00:00:00"/>
    <x v="1"/>
    <s v="Explore the latest text on Myntra! Trendy styles await."/>
    <n v="1570"/>
    <n v="187"/>
    <n v="260"/>
    <n v="25120"/>
    <n v="24613"/>
    <n v="133"/>
    <x v="0"/>
    <m/>
    <s v="MyntraSale"/>
    <x v="3"/>
    <n v="8.0294585987261149E-2"/>
    <n v="2017"/>
    <d v="2025-01-10T00:00:00"/>
    <d v="2025-02-10T00:00:00"/>
    <x v="0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x v="0"/>
    <m/>
    <s v="MyntraSale"/>
    <x v="2"/>
    <n v="7.6867995018679955E-2"/>
    <n v="2469"/>
    <d v="2024-10-05T00:00:00"/>
    <d v="2024-11-05T00:00:00"/>
    <x v="0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x v="3"/>
    <m/>
    <s v="MyntraTrend"/>
    <x v="1"/>
    <n v="7.2070332803659209E-2"/>
    <n v="4853"/>
    <d v="2024-06-10T00:00:00"/>
    <d v="2024-07-05T00:00:00"/>
    <x v="0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x v="2"/>
    <s v="MyntraSale"/>
    <s v="StyleWithMyntra,MyntraSale"/>
    <x v="0"/>
    <n v="5.9496567505720827E-2"/>
    <n v="3536"/>
    <d v="2024-08-01T00:00:00"/>
    <d v="2024-08-31T00:00:00"/>
    <x v="0"/>
  </r>
  <r>
    <s v="P026"/>
    <x v="1"/>
    <d v="2025-04-05T00:00:00"/>
    <x v="0"/>
    <s v="Explore the latest reel on Myntra! Trendy styles await."/>
    <n v="3009"/>
    <n v="413"/>
    <n v="358"/>
    <n v="42126"/>
    <n v="41309"/>
    <n v="211"/>
    <x v="0"/>
    <m/>
    <s v="MyntraSale"/>
    <x v="1"/>
    <n v="8.9730807577268201E-2"/>
    <n v="3780"/>
    <d v="2024-06-10T00:00:00"/>
    <d v="2024-07-05T00:00:00"/>
    <x v="0"/>
  </r>
  <r>
    <s v="P027"/>
    <x v="1"/>
    <d v="2024-09-17T00:00:00"/>
    <x v="1"/>
    <s v="Explore the latest text on Myntra! Trendy styles await."/>
    <n v="2076"/>
    <n v="195"/>
    <n v="104"/>
    <n v="33216"/>
    <n v="32244"/>
    <n v="51"/>
    <x v="3"/>
    <m/>
    <s v="MyntraTrend"/>
    <x v="3"/>
    <n v="7.1501685934489398E-2"/>
    <n v="2375"/>
    <d v="2025-01-10T00:00:00"/>
    <d v="2025-02-10T00:00:00"/>
    <x v="0"/>
  </r>
  <r>
    <s v="P028"/>
    <x v="2"/>
    <d v="2025-03-04T00:00:00"/>
    <x v="5"/>
    <s v="Explore the latest video on Myntra! Trendy styles await."/>
    <n v="432"/>
    <n v="624"/>
    <n v="123"/>
    <n v="6912"/>
    <n v="6259"/>
    <n v="79"/>
    <x v="0"/>
    <s v="MyntraTrend"/>
    <s v="MyntraSale,MyntraTrend"/>
    <x v="1"/>
    <n v="0.17057291666666666"/>
    <n v="1179"/>
    <d v="2024-06-10T00:00:00"/>
    <d v="2024-07-05T00:00:00"/>
    <x v="0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x v="3"/>
    <s v="MyntraFashion"/>
    <s v="MyntraTrend,MyntraFashion"/>
    <x v="2"/>
    <n v="0.21208106001558846"/>
    <n v="2721"/>
    <d v="2024-10-05T00:00:00"/>
    <d v="2024-11-05T00:00:00"/>
    <x v="0"/>
  </r>
  <r>
    <s v="P030"/>
    <x v="2"/>
    <d v="2025-02-25T00:00:00"/>
    <x v="5"/>
    <s v="Explore the latest video on Myntra! Trendy styles await."/>
    <n v="3095"/>
    <n v="39"/>
    <n v="78"/>
    <n v="55710"/>
    <n v="54808"/>
    <n v="93"/>
    <x v="0"/>
    <m/>
    <s v="MyntraSale"/>
    <x v="3"/>
    <n v="5.7655717106444085E-2"/>
    <n v="3212"/>
    <d v="2025-01-10T00:00:00"/>
    <d v="2025-02-10T00:00:00"/>
    <x v="0"/>
  </r>
  <r>
    <s v="P031"/>
    <x v="2"/>
    <d v="2024-12-16T00:00:00"/>
    <x v="1"/>
    <s v="Explore the latest text on Myntra! Trendy styles await."/>
    <n v="438"/>
    <n v="153"/>
    <n v="275"/>
    <n v="3066"/>
    <n v="2701"/>
    <n v="282"/>
    <x v="3"/>
    <m/>
    <s v="MyntraTrend"/>
    <x v="3"/>
    <n v="0.28245270711024134"/>
    <n v="866"/>
    <d v="2025-01-10T00:00:00"/>
    <d v="2025-02-10T00:00:00"/>
    <x v="0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x v="3"/>
    <s v="MyntraFashion"/>
    <s v="MyntraTrend,MyntraFashion"/>
    <x v="3"/>
    <n v="0.19088381621305239"/>
    <n v="2609"/>
    <d v="2025-01-10T00:00:00"/>
    <d v="2025-02-10T00:00:00"/>
    <x v="0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x v="1"/>
    <s v="FashionDeals"/>
    <s v="MyntraFashion,FashionDeals"/>
    <x v="2"/>
    <n v="0.12781331438047855"/>
    <n v="2158"/>
    <d v="2024-10-05T00:00:00"/>
    <d v="2024-11-05T00:00:00"/>
    <x v="0"/>
  </r>
  <r>
    <s v="P034"/>
    <x v="3"/>
    <d v="2025-03-26T00:00:00"/>
    <x v="1"/>
    <s v="Explore the latest text on Myntra! Trendy styles await."/>
    <n v="1652"/>
    <n v="89"/>
    <n v="357"/>
    <n v="29736"/>
    <n v="28771"/>
    <n v="215"/>
    <x v="3"/>
    <s v="FashionDeals"/>
    <s v="MyntraTrend,FashionDeals"/>
    <x v="1"/>
    <n v="7.055421038471886E-2"/>
    <n v="2098"/>
    <d v="2024-06-10T00:00:00"/>
    <d v="2024-07-05T00:00:00"/>
    <x v="0"/>
  </r>
  <r>
    <s v="P035"/>
    <x v="2"/>
    <d v="2024-11-30T00:00:00"/>
    <x v="5"/>
    <s v="Explore the latest video on Myntra! Trendy styles await."/>
    <n v="3775"/>
    <n v="16"/>
    <n v="239"/>
    <n v="33975"/>
    <n v="33310"/>
    <n v="271"/>
    <x v="2"/>
    <s v="MyntraSale"/>
    <s v="StyleWithMyntra,MyntraSale"/>
    <x v="2"/>
    <n v="0.11861662987490802"/>
    <n v="4030"/>
    <d v="2024-10-05T00:00:00"/>
    <d v="2024-11-05T00:00:00"/>
    <x v="0"/>
  </r>
  <r>
    <s v="P036"/>
    <x v="2"/>
    <d v="2025-04-19T00:00:00"/>
    <x v="2"/>
    <s v="Explore the latest story on Myntra! Trendy styles await."/>
    <n v="4518"/>
    <n v="285"/>
    <n v="383"/>
    <n v="67770"/>
    <n v="67621"/>
    <n v="31"/>
    <x v="4"/>
    <m/>
    <s v="FashionDeals"/>
    <x v="1"/>
    <n v="7.6523535487678915E-2"/>
    <n v="5186"/>
    <d v="2024-06-10T00:00:00"/>
    <d v="2024-07-05T00:00:00"/>
    <x v="0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x v="0"/>
    <m/>
    <s v="MyntraSale"/>
    <x v="2"/>
    <n v="0.17770337301587302"/>
    <n v="4299"/>
    <d v="2024-10-05T00:00:00"/>
    <d v="2024-11-05T00:00:00"/>
    <x v="0"/>
  </r>
  <r>
    <s v="P038"/>
    <x v="1"/>
    <d v="2025-02-17T00:00:00"/>
    <x v="0"/>
    <s v="Explore the latest reel on Myntra! Trendy styles await."/>
    <n v="3138"/>
    <n v="123"/>
    <n v="291"/>
    <n v="28242"/>
    <n v="27550"/>
    <n v="87"/>
    <x v="4"/>
    <m/>
    <s v="FashionDeals"/>
    <x v="3"/>
    <n v="0.12577012959422137"/>
    <n v="3552"/>
    <d v="2025-01-10T00:00:00"/>
    <d v="2025-02-10T00:00:00"/>
    <x v="0"/>
  </r>
  <r>
    <s v="P039"/>
    <x v="3"/>
    <d v="2024-11-25T00:00:00"/>
    <x v="4"/>
    <s v="Explore the latest image on Myntra! Trendy styles await."/>
    <n v="3564"/>
    <n v="629"/>
    <n v="177"/>
    <n v="60588"/>
    <n v="59627"/>
    <n v="92"/>
    <x v="4"/>
    <s v="MyntraSale"/>
    <s v="FashionDeals,MyntraSale"/>
    <x v="2"/>
    <n v="7.2126493695121141E-2"/>
    <n v="4370"/>
    <d v="2024-10-05T00:00:00"/>
    <d v="2024-11-05T00:00:00"/>
    <x v="0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x v="2"/>
    <s v="MyntraSale"/>
    <s v="StyleWithMyntra,MyntraSale"/>
    <x v="1"/>
    <n v="0.13989473684210527"/>
    <n v="5316"/>
    <d v="2024-06-10T00:00:00"/>
    <d v="2024-07-05T00:00:00"/>
    <x v="0"/>
  </r>
  <r>
    <s v="P041"/>
    <x v="2"/>
    <d v="2025-03-08T00:00:00"/>
    <x v="0"/>
    <s v="Explore the latest reel on Myntra! Trendy styles await."/>
    <n v="456"/>
    <n v="629"/>
    <n v="428"/>
    <n v="8208"/>
    <n v="7377"/>
    <n v="205"/>
    <x v="0"/>
    <s v="FashionDeals"/>
    <s v="MyntraSale,FashionDeals"/>
    <x v="2"/>
    <n v="0.18433235867446393"/>
    <n v="1513"/>
    <d v="2024-10-05T00:00:00"/>
    <d v="2024-11-05T00:00:00"/>
    <x v="0"/>
  </r>
  <r>
    <s v="P042"/>
    <x v="1"/>
    <d v="2025-03-05T00:00:00"/>
    <x v="0"/>
    <s v="Explore the latest reel on Myntra! Trendy styles await."/>
    <n v="1543"/>
    <n v="820"/>
    <n v="333"/>
    <n v="12344"/>
    <n v="11496"/>
    <n v="241"/>
    <x v="2"/>
    <m/>
    <s v="StyleWithMyntra"/>
    <x v="2"/>
    <n v="0.21840570317563188"/>
    <n v="2696"/>
    <d v="2024-10-05T00:00:00"/>
    <d v="2024-11-05T00:00:00"/>
    <x v="0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x v="0"/>
    <s v="MyntraFashion"/>
    <s v="MyntraSale,MyntraFashion"/>
    <x v="3"/>
    <n v="0.21826126954921804"/>
    <n v="2847"/>
    <d v="2025-01-10T00:00:00"/>
    <d v="2025-02-10T00:00:00"/>
    <x v="0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x v="0"/>
    <s v="StyleWithMyntra"/>
    <s v="MyntraSale,StyleWithMyntra"/>
    <x v="0"/>
    <n v="9.8558100084817649E-2"/>
    <n v="3486"/>
    <d v="2024-08-01T00:00:00"/>
    <d v="2024-08-31T00:00:00"/>
    <x v="0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x v="4"/>
    <m/>
    <s v="FashionDeals"/>
    <x v="3"/>
    <n v="7.5229902106199939E-2"/>
    <n v="3804"/>
    <d v="2025-01-10T00:00:00"/>
    <d v="2025-02-10T00:00:00"/>
    <x v="0"/>
  </r>
  <r>
    <s v="P046"/>
    <x v="0"/>
    <d v="2025-05-02T00:00:00"/>
    <x v="5"/>
    <s v="Explore the latest video on Myntra! Trendy styles await."/>
    <n v="1108"/>
    <n v="177"/>
    <n v="212"/>
    <n v="8864"/>
    <n v="8710"/>
    <n v="97"/>
    <x v="1"/>
    <m/>
    <s v="MyntraFashion"/>
    <x v="3"/>
    <n v="0.16888537906137185"/>
    <n v="1497"/>
    <d v="2025-01-10T00:00:00"/>
    <d v="2025-02-10T00:00:00"/>
    <x v="0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x v="4"/>
    <s v="MyntraFashion"/>
    <s v="FashionDeals,MyntraFashion"/>
    <x v="0"/>
    <n v="0.16683616863905326"/>
    <n v="3609"/>
    <d v="2024-08-01T00:00:00"/>
    <d v="2024-08-31T00:00:00"/>
    <x v="0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x v="1"/>
    <s v="StyleWithMyntra"/>
    <s v="MyntraFashion,StyleWithMyntra"/>
    <x v="3"/>
    <n v="7.349527665317139E-2"/>
    <n v="2723"/>
    <d v="2025-01-10T00:00:00"/>
    <d v="2025-02-10T00:00:00"/>
    <x v="0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x v="2"/>
    <m/>
    <s v="StyleWithMyntra"/>
    <x v="0"/>
    <n v="0.10617801791554102"/>
    <n v="2987"/>
    <d v="2024-08-01T00:00:00"/>
    <d v="2024-08-31T00:00:00"/>
    <x v="0"/>
  </r>
  <r>
    <s v="P050"/>
    <x v="1"/>
    <d v="2024-07-03T00:00:00"/>
    <x v="2"/>
    <s v="Explore the latest story on Myntra! Trendy styles await."/>
    <n v="2754"/>
    <n v="130"/>
    <n v="90"/>
    <n v="22032"/>
    <n v="21288"/>
    <n v="112"/>
    <x v="1"/>
    <m/>
    <s v="MyntraFashion"/>
    <x v="0"/>
    <n v="0.13498547567175018"/>
    <n v="2974"/>
    <d v="2024-08-01T00:00:00"/>
    <d v="2024-08-31T00:00:00"/>
    <x v="0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x v="0"/>
    <m/>
    <s v="MyntraSale"/>
    <x v="2"/>
    <n v="7.8689839572192513E-2"/>
    <n v="2943"/>
    <d v="2024-10-05T00:00:00"/>
    <d v="2024-11-05T00:00:00"/>
    <x v="0"/>
  </r>
  <r>
    <s v="P052"/>
    <x v="3"/>
    <d v="2025-01-03T00:00:00"/>
    <x v="4"/>
    <s v="Explore the latest image on Myntra! Trendy styles await."/>
    <n v="947"/>
    <n v="338"/>
    <n v="350"/>
    <n v="10417"/>
    <n v="9730"/>
    <n v="34"/>
    <x v="1"/>
    <s v="MyntraSale"/>
    <s v="MyntraFashion,MyntraSale"/>
    <x v="2"/>
    <n v="0.1569549774407219"/>
    <n v="1635"/>
    <d v="2024-10-05T00:00:00"/>
    <d v="2024-11-05T00:00:00"/>
    <x v="0"/>
  </r>
  <r>
    <s v="P053"/>
    <x v="1"/>
    <d v="2025-02-24T00:00:00"/>
    <x v="3"/>
    <s v="Explore the latest carousel on Myntra! Trendy styles await."/>
    <n v="804"/>
    <n v="639"/>
    <n v="43"/>
    <n v="4020"/>
    <n v="3144"/>
    <n v="11"/>
    <x v="2"/>
    <s v="MyntraTrend"/>
    <s v="StyleWithMyntra,MyntraTrend"/>
    <x v="3"/>
    <n v="0.36965174129353234"/>
    <n v="1486"/>
    <d v="2025-01-10T00:00:00"/>
    <d v="2025-02-10T00:00:00"/>
    <x v="0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x v="1"/>
    <s v="FashionDeals"/>
    <s v="MyntraFashion,FashionDeals"/>
    <x v="1"/>
    <n v="0.16510298716704411"/>
    <n v="3062"/>
    <d v="2024-06-10T00:00:00"/>
    <d v="2024-07-05T00:00:00"/>
    <x v="0"/>
  </r>
  <r>
    <s v="P055"/>
    <x v="3"/>
    <d v="2024-06-17T00:00:00"/>
    <x v="4"/>
    <s v="Explore the latest image on Myntra! Trendy styles await."/>
    <n v="1226"/>
    <n v="119"/>
    <n v="7"/>
    <n v="14712"/>
    <n v="14049"/>
    <n v="123"/>
    <x v="0"/>
    <s v="MyntraTrend"/>
    <s v="MyntraSale,MyntraTrend"/>
    <x v="3"/>
    <n v="9.1897770527460579E-2"/>
    <n v="1352"/>
    <d v="2025-01-10T00:00:00"/>
    <d v="2025-02-10T00:00:00"/>
    <x v="0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x v="2"/>
    <s v="FashionDeals"/>
    <s v="StyleWithMyntra,FashionDeals"/>
    <x v="1"/>
    <n v="0.12936184657162253"/>
    <n v="3811"/>
    <d v="2024-06-10T00:00:00"/>
    <d v="2024-07-05T00:00:00"/>
    <x v="0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x v="2"/>
    <m/>
    <s v="StyleWithMyntra"/>
    <x v="1"/>
    <n v="8.0862831858407078E-2"/>
    <n v="3655"/>
    <d v="2024-06-10T00:00:00"/>
    <d v="2024-07-05T00:00:00"/>
    <x v="0"/>
  </r>
  <r>
    <s v="P058"/>
    <x v="2"/>
    <d v="2025-04-15T00:00:00"/>
    <x v="0"/>
    <s v="Explore the latest reel on Myntra! Trendy styles await."/>
    <n v="103"/>
    <n v="770"/>
    <n v="19"/>
    <n v="1030"/>
    <n v="410"/>
    <n v="262"/>
    <x v="0"/>
    <m/>
    <s v="MyntraSale"/>
    <x v="2"/>
    <n v="0.86601941747572819"/>
    <n v="892"/>
    <d v="2024-10-05T00:00:00"/>
    <d v="2024-11-05T00:00:00"/>
    <x v="0"/>
  </r>
  <r>
    <s v="P059"/>
    <x v="2"/>
    <d v="2024-06-22T00:00:00"/>
    <x v="1"/>
    <s v="Explore the latest text on Myntra! Trendy styles await."/>
    <n v="2180"/>
    <n v="263"/>
    <n v="387"/>
    <n v="30520"/>
    <n v="30059"/>
    <n v="174"/>
    <x v="4"/>
    <m/>
    <s v="FashionDeals"/>
    <x v="0"/>
    <n v="9.2726081258191345E-2"/>
    <n v="2830"/>
    <d v="2024-08-01T00:00:00"/>
    <d v="2024-08-31T00:00:00"/>
    <x v="0"/>
  </r>
  <r>
    <s v="P060"/>
    <x v="2"/>
    <d v="2025-01-28T00:00:00"/>
    <x v="5"/>
    <s v="Explore the latest video on Myntra! Trendy styles await."/>
    <n v="904"/>
    <n v="973"/>
    <n v="63"/>
    <n v="11752"/>
    <n v="11580"/>
    <n v="84"/>
    <x v="2"/>
    <m/>
    <s v="StyleWithMyntra"/>
    <x v="0"/>
    <n v="0.1650782845473111"/>
    <n v="1940"/>
    <d v="2024-08-01T00:00:00"/>
    <d v="2024-08-31T00:00:00"/>
    <x v="0"/>
  </r>
  <r>
    <s v="P061"/>
    <x v="0"/>
    <d v="2024-09-05T00:00:00"/>
    <x v="5"/>
    <s v="Explore the latest video on Myntra! Trendy styles await."/>
    <n v="4886"/>
    <n v="983"/>
    <n v="409"/>
    <n v="43974"/>
    <n v="43239"/>
    <n v="65"/>
    <x v="1"/>
    <m/>
    <s v="MyntraFashion"/>
    <x v="0"/>
    <n v="0.14276618001546368"/>
    <n v="6278"/>
    <d v="2024-08-01T00:00:00"/>
    <d v="2024-08-31T00:00:00"/>
    <x v="0"/>
  </r>
  <r>
    <s v="P062"/>
    <x v="0"/>
    <d v="2024-11-22T00:00:00"/>
    <x v="3"/>
    <s v="Explore the latest carousel on Myntra! Trendy styles await."/>
    <n v="53"/>
    <n v="81"/>
    <n v="379"/>
    <n v="954"/>
    <n v="7"/>
    <n v="148"/>
    <x v="4"/>
    <m/>
    <s v="FashionDeals"/>
    <x v="2"/>
    <n v="0.53773584905660377"/>
    <n v="513"/>
    <d v="2024-10-05T00:00:00"/>
    <d v="2024-11-05T00:00:00"/>
    <x v="0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x v="0"/>
    <m/>
    <s v="MyntraSale"/>
    <x v="0"/>
    <n v="5.2551586421122697E-2"/>
    <n v="4737"/>
    <d v="2024-08-01T00:00:00"/>
    <d v="2024-08-31T00:00:00"/>
    <x v="0"/>
  </r>
  <r>
    <s v="P064"/>
    <x v="3"/>
    <d v="2024-08-17T00:00:00"/>
    <x v="4"/>
    <s v="Explore the latest image on Myntra! Trendy styles await."/>
    <n v="2878"/>
    <n v="248"/>
    <n v="416"/>
    <n v="43170"/>
    <n v="42667"/>
    <n v="75"/>
    <x v="4"/>
    <s v="MyntraTrend"/>
    <s v="FashionDeals,MyntraTrend"/>
    <x v="1"/>
    <n v="8.2047718322909427E-2"/>
    <n v="3542"/>
    <d v="2024-06-10T00:00:00"/>
    <d v="2024-07-05T00:00:00"/>
    <x v="0"/>
  </r>
  <r>
    <s v="P065"/>
    <x v="2"/>
    <d v="2025-03-28T00:00:00"/>
    <x v="2"/>
    <s v="Explore the latest story on Myntra! Trendy styles await."/>
    <n v="1881"/>
    <n v="501"/>
    <n v="99"/>
    <n v="20691"/>
    <n v="19987"/>
    <n v="289"/>
    <x v="4"/>
    <m/>
    <s v="FashionDeals"/>
    <x v="1"/>
    <n v="0.11990720603160794"/>
    <n v="2481"/>
    <d v="2024-06-10T00:00:00"/>
    <d v="2024-07-05T00:00:00"/>
    <x v="0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x v="1"/>
    <m/>
    <s v="MyntraFashion"/>
    <x v="2"/>
    <n v="0.29199735449735448"/>
    <n v="883"/>
    <d v="2024-10-05T00:00:00"/>
    <d v="2024-11-05T00:00:00"/>
    <x v="0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x v="4"/>
    <m/>
    <s v="FashionDeals"/>
    <x v="0"/>
    <n v="6.3749764195434822E-2"/>
    <n v="5407"/>
    <d v="2024-08-01T00:00:00"/>
    <d v="2024-08-31T00:00:00"/>
    <x v="0"/>
  </r>
  <r>
    <s v="P068"/>
    <x v="2"/>
    <d v="2024-12-08T00:00:00"/>
    <x v="2"/>
    <s v="Explore the latest story on Myntra! Trendy styles await."/>
    <n v="2610"/>
    <n v="126"/>
    <n v="288"/>
    <n v="15660"/>
    <n v="15145"/>
    <n v="73"/>
    <x v="1"/>
    <m/>
    <s v="MyntraFashion"/>
    <x v="0"/>
    <n v="0.19310344827586207"/>
    <n v="3024"/>
    <d v="2024-08-01T00:00:00"/>
    <d v="2024-08-31T00:00:00"/>
    <x v="0"/>
  </r>
  <r>
    <s v="P069"/>
    <x v="0"/>
    <d v="2025-03-08T00:00:00"/>
    <x v="1"/>
    <s v="Explore the latest text on Myntra! Trendy styles await."/>
    <n v="1292"/>
    <n v="626"/>
    <n v="496"/>
    <n v="25840"/>
    <n v="24916"/>
    <n v="149"/>
    <x v="2"/>
    <s v="MyntraTrend"/>
    <s v="StyleWithMyntra,MyntraTrend"/>
    <x v="3"/>
    <n v="9.3421052631578946E-2"/>
    <n v="2414"/>
    <d v="2025-01-10T00:00:00"/>
    <d v="2025-02-10T00:00:00"/>
    <x v="0"/>
  </r>
  <r>
    <s v="P070"/>
    <x v="3"/>
    <d v="2025-04-02T00:00:00"/>
    <x v="5"/>
    <s v="Explore the latest video on Myntra! Trendy styles await."/>
    <n v="199"/>
    <n v="772"/>
    <n v="400"/>
    <n v="3582"/>
    <n v="2988"/>
    <n v="43"/>
    <x v="3"/>
    <m/>
    <s v="MyntraTrend"/>
    <x v="0"/>
    <n v="0.38274706867671693"/>
    <n v="1371"/>
    <d v="2024-08-01T00:00:00"/>
    <d v="2024-08-31T00:00:00"/>
    <x v="0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x v="0"/>
    <s v="FashionDeals"/>
    <s v="MyntraSale,FashionDeals"/>
    <x v="1"/>
    <n v="0.1199202926956749"/>
    <n v="3671"/>
    <d v="2024-06-10T00:00:00"/>
    <d v="2024-07-05T00:00:00"/>
    <x v="0"/>
  </r>
  <r>
    <s v="P072"/>
    <x v="1"/>
    <d v="2025-03-03T00:00:00"/>
    <x v="0"/>
    <s v="Explore the latest reel on Myntra! Trendy styles await."/>
    <n v="296"/>
    <n v="60"/>
    <n v="141"/>
    <n v="5624"/>
    <n v="5239"/>
    <n v="88"/>
    <x v="3"/>
    <m/>
    <s v="MyntraTrend"/>
    <x v="3"/>
    <n v="8.837126600284495E-2"/>
    <n v="497"/>
    <d v="2025-01-10T00:00:00"/>
    <d v="2025-02-10T00:00:00"/>
    <x v="0"/>
  </r>
  <r>
    <s v="P073"/>
    <x v="3"/>
    <d v="2024-10-18T00:00:00"/>
    <x v="2"/>
    <s v="Explore the latest story on Myntra! Trendy styles await."/>
    <n v="4126"/>
    <n v="426"/>
    <n v="486"/>
    <n v="78394"/>
    <n v="77798"/>
    <n v="88"/>
    <x v="1"/>
    <m/>
    <s v="MyntraFashion"/>
    <x v="0"/>
    <n v="6.4265122330790625E-2"/>
    <n v="5038"/>
    <d v="2024-08-01T00:00:00"/>
    <d v="2024-08-31T00:00:00"/>
    <x v="0"/>
  </r>
  <r>
    <s v="P074"/>
    <x v="1"/>
    <d v="2024-10-28T00:00:00"/>
    <x v="0"/>
    <s v="Explore the latest reel on Myntra! Trendy styles await."/>
    <n v="1855"/>
    <n v="200"/>
    <n v="174"/>
    <n v="16695"/>
    <n v="16330"/>
    <n v="123"/>
    <x v="1"/>
    <m/>
    <s v="MyntraFashion"/>
    <x v="2"/>
    <n v="0.13351302785265048"/>
    <n v="2229"/>
    <d v="2024-10-05T00:00:00"/>
    <d v="2024-11-05T00:00:00"/>
    <x v="1"/>
  </r>
  <r>
    <s v="P075"/>
    <x v="2"/>
    <d v="2024-08-01T00:00:00"/>
    <x v="0"/>
    <s v="Explore the latest reel on Myntra! Trendy styles await."/>
    <n v="1674"/>
    <n v="929"/>
    <n v="37"/>
    <n v="21762"/>
    <n v="20998"/>
    <n v="255"/>
    <x v="2"/>
    <s v="FashionDeals"/>
    <s v="StyleWithMyntra,FashionDeals"/>
    <x v="2"/>
    <n v="0.12131237937689551"/>
    <n v="2640"/>
    <d v="2024-10-05T00:00:00"/>
    <d v="2024-11-05T00:00:00"/>
    <x v="0"/>
  </r>
  <r>
    <s v="P076"/>
    <x v="0"/>
    <d v="2024-11-07T00:00:00"/>
    <x v="2"/>
    <s v="Explore the latest story on Myntra! Trendy styles await."/>
    <n v="1121"/>
    <n v="135"/>
    <n v="18"/>
    <n v="15694"/>
    <n v="14957"/>
    <n v="99"/>
    <x v="0"/>
    <s v="MyntraFashion"/>
    <s v="MyntraSale,MyntraFashion"/>
    <x v="3"/>
    <n v="8.1177520071364848E-2"/>
    <n v="1274"/>
    <d v="2025-01-10T00:00:00"/>
    <d v="2025-02-10T00:00:00"/>
    <x v="0"/>
  </r>
  <r>
    <s v="P077"/>
    <x v="3"/>
    <d v="2025-03-04T00:00:00"/>
    <x v="2"/>
    <s v="Explore the latest story on Myntra! Trendy styles await."/>
    <n v="1249"/>
    <n v="116"/>
    <n v="420"/>
    <n v="8743"/>
    <n v="8538"/>
    <n v="63"/>
    <x v="1"/>
    <s v="FashionDeals"/>
    <s v="MyntraFashion,FashionDeals"/>
    <x v="2"/>
    <n v="0.20416333066453163"/>
    <n v="1785"/>
    <d v="2024-10-05T00:00:00"/>
    <d v="2024-11-05T00:00:00"/>
    <x v="0"/>
  </r>
  <r>
    <s v="P078"/>
    <x v="0"/>
    <d v="2024-06-17T00:00:00"/>
    <x v="4"/>
    <s v="Explore the latest image on Myntra! Trendy styles await."/>
    <n v="954"/>
    <n v="324"/>
    <n v="288"/>
    <n v="19080"/>
    <n v="18859"/>
    <n v="21"/>
    <x v="3"/>
    <m/>
    <s v="MyntraTrend"/>
    <x v="2"/>
    <n v="8.2075471698113203E-2"/>
    <n v="1566"/>
    <d v="2024-10-05T00:00:00"/>
    <d v="2024-11-05T00:00:00"/>
    <x v="0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x v="0"/>
    <s v="MyntraTrend"/>
    <s v="MyntraSale,MyntraTrend"/>
    <x v="2"/>
    <n v="8.860696018453515E-2"/>
    <n v="3534"/>
    <d v="2024-10-05T00:00:00"/>
    <d v="2024-11-05T00:00:00"/>
    <x v="1"/>
  </r>
  <r>
    <s v="P080"/>
    <x v="2"/>
    <d v="2024-06-13T00:00:00"/>
    <x v="2"/>
    <s v="Explore the latest story on Myntra! Trendy styles await."/>
    <n v="2103"/>
    <n v="892"/>
    <n v="103"/>
    <n v="39957"/>
    <n v="39466"/>
    <n v="28"/>
    <x v="4"/>
    <s v="MyntraFashion"/>
    <s v="FashionDeals,MyntraFashion"/>
    <x v="1"/>
    <n v="7.7533348349475686E-2"/>
    <n v="3098"/>
    <d v="2024-06-10T00:00:00"/>
    <d v="2024-07-05T00:00:00"/>
    <x v="1"/>
  </r>
  <r>
    <s v="P081"/>
    <x v="2"/>
    <d v="2024-10-19T00:00:00"/>
    <x v="2"/>
    <s v="Explore the latest story on Myntra! Trendy styles await."/>
    <n v="1816"/>
    <n v="29"/>
    <n v="41"/>
    <n v="19976"/>
    <n v="19262"/>
    <n v="283"/>
    <x v="3"/>
    <s v="MyntraSale"/>
    <s v="MyntraTrend,MyntraSale"/>
    <x v="2"/>
    <n v="9.4413295955146179E-2"/>
    <n v="1886"/>
    <d v="2024-10-05T00:00:00"/>
    <d v="2024-11-05T00:00:00"/>
    <x v="1"/>
  </r>
  <r>
    <s v="P082"/>
    <x v="2"/>
    <d v="2024-07-24T00:00:00"/>
    <x v="4"/>
    <s v="Explore the latest image on Myntra! Trendy styles await."/>
    <n v="725"/>
    <n v="88"/>
    <n v="428"/>
    <n v="14500"/>
    <n v="13637"/>
    <n v="200"/>
    <x v="3"/>
    <m/>
    <s v="MyntraTrend"/>
    <x v="2"/>
    <n v="8.558620689655172E-2"/>
    <n v="1241"/>
    <d v="2024-10-05T00:00:00"/>
    <d v="2024-11-05T00:00:00"/>
    <x v="0"/>
  </r>
  <r>
    <s v="P083"/>
    <x v="1"/>
    <d v="2024-10-15T00:00:00"/>
    <x v="5"/>
    <s v="Explore the latest video on Myntra! Trendy styles await."/>
    <n v="1094"/>
    <n v="472"/>
    <n v="21"/>
    <n v="9846"/>
    <n v="9609"/>
    <n v="112"/>
    <x v="3"/>
    <s v="StyleWithMyntra"/>
    <s v="MyntraTrend,StyleWithMyntra"/>
    <x v="2"/>
    <n v="0.16118220597196831"/>
    <n v="1587"/>
    <d v="2024-10-05T00:00:00"/>
    <d v="2024-11-05T00:00:00"/>
    <x v="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x v="1"/>
    <s v="FashionDeals"/>
    <s v="MyntraFashion,FashionDeals"/>
    <x v="0"/>
    <n v="8.6737756939878216E-2"/>
    <n v="3034"/>
    <d v="2024-08-01T00:00:00"/>
    <d v="2024-08-31T00:00:00"/>
    <x v="0"/>
  </r>
  <r>
    <s v="P085"/>
    <x v="2"/>
    <d v="2025-04-19T00:00:00"/>
    <x v="4"/>
    <s v="Explore the latest image on Myntra! Trendy styles await."/>
    <n v="4177"/>
    <n v="569"/>
    <n v="55"/>
    <n v="25062"/>
    <n v="24847"/>
    <n v="230"/>
    <x v="1"/>
    <m/>
    <s v="MyntraFashion"/>
    <x v="0"/>
    <n v="0.19156491900087783"/>
    <n v="4801"/>
    <d v="2024-08-01T00:00:00"/>
    <d v="2024-08-31T00:00:00"/>
    <x v="0"/>
  </r>
  <r>
    <s v="P086"/>
    <x v="1"/>
    <d v="2025-01-27T00:00:00"/>
    <x v="1"/>
    <s v="Explore the latest text on Myntra! Trendy styles await."/>
    <n v="3428"/>
    <n v="305"/>
    <n v="85"/>
    <n v="58276"/>
    <n v="58052"/>
    <n v="242"/>
    <x v="3"/>
    <s v="StyleWithMyntra"/>
    <s v="MyntraTrend,StyleWithMyntra"/>
    <x v="2"/>
    <n v="6.5515821264328367E-2"/>
    <n v="3818"/>
    <d v="2024-10-05T00:00:00"/>
    <d v="2024-11-05T00:00:00"/>
    <x v="0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x v="3"/>
    <s v="MyntraSale"/>
    <s v="MyntraTrend,MyntraSale"/>
    <x v="1"/>
    <n v="0.20868152274837512"/>
    <n v="2697"/>
    <d v="2024-06-10T00:00:00"/>
    <d v="2024-07-05T00:00:00"/>
    <x v="0"/>
  </r>
  <r>
    <s v="P088"/>
    <x v="3"/>
    <d v="2024-07-07T00:00:00"/>
    <x v="2"/>
    <s v="Explore the latest story on Myntra! Trendy styles await."/>
    <n v="302"/>
    <n v="47"/>
    <n v="430"/>
    <n v="5738"/>
    <n v="4890"/>
    <n v="25"/>
    <x v="1"/>
    <s v="MyntraSale"/>
    <s v="MyntraFashion,MyntraSale"/>
    <x v="1"/>
    <n v="0.13576158940397351"/>
    <n v="779"/>
    <d v="2024-06-10T00:00:00"/>
    <d v="2024-07-05T00:00:00"/>
    <x v="0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x v="0"/>
    <m/>
    <s v="MyntraSale"/>
    <x v="1"/>
    <n v="0.16873144921925409"/>
    <n v="2615"/>
    <d v="2024-06-10T00:00:00"/>
    <d v="2024-07-05T00:00:00"/>
    <x v="0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x v="1"/>
    <m/>
    <s v="MyntraFashion"/>
    <x v="1"/>
    <n v="7.0822181933293038E-2"/>
    <n v="4922"/>
    <d v="2024-06-10T00:00:00"/>
    <d v="2024-07-05T00:00:00"/>
    <x v="0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x v="0"/>
    <m/>
    <s v="MyntraSale"/>
    <x v="1"/>
    <n v="7.984956452889945E-2"/>
    <n v="2017"/>
    <d v="2024-06-10T00:00:00"/>
    <d v="2024-07-05T00:00:00"/>
    <x v="0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x v="2"/>
    <m/>
    <s v="StyleWithMyntra"/>
    <x v="3"/>
    <n v="0.13599052880820836"/>
    <n v="5169"/>
    <d v="2025-01-10T00:00:00"/>
    <d v="2025-02-10T00:00:00"/>
    <x v="0"/>
  </r>
  <r>
    <s v="P093"/>
    <x v="2"/>
    <d v="2024-12-11T00:00:00"/>
    <x v="5"/>
    <s v="Explore the latest video on Myntra! Trendy styles await."/>
    <n v="1431"/>
    <n v="951"/>
    <n v="26"/>
    <n v="8586"/>
    <n v="8396"/>
    <n v="150"/>
    <x v="3"/>
    <s v="FashionDeals"/>
    <s v="MyntraTrend,FashionDeals"/>
    <x v="0"/>
    <n v="0.28045655718611695"/>
    <n v="2408"/>
    <d v="2024-08-01T00:00:00"/>
    <d v="2024-08-31T00:00:00"/>
    <x v="0"/>
  </r>
  <r>
    <s v="P094"/>
    <x v="2"/>
    <d v="2024-11-07T00:00:00"/>
    <x v="4"/>
    <s v="Explore the latest image on Myntra! Trendy styles await."/>
    <n v="2647"/>
    <n v="304"/>
    <n v="170"/>
    <n v="18529"/>
    <n v="17841"/>
    <n v="46"/>
    <x v="2"/>
    <m/>
    <s v="StyleWithMyntra"/>
    <x v="1"/>
    <n v="0.16843866371633656"/>
    <n v="3121"/>
    <d v="2024-06-10T00:00:00"/>
    <d v="2024-07-05T00:00:00"/>
    <x v="0"/>
  </r>
  <r>
    <s v="P095"/>
    <x v="2"/>
    <d v="2024-11-08T00:00:00"/>
    <x v="1"/>
    <s v="Explore the latest text on Myntra! Trendy styles await."/>
    <n v="3182"/>
    <n v="559"/>
    <n v="160"/>
    <n v="57276"/>
    <n v="56890"/>
    <n v="163"/>
    <x v="2"/>
    <s v="MyntraTrend"/>
    <s v="StyleWithMyntra,MyntraTrend"/>
    <x v="1"/>
    <n v="6.8108806480899509E-2"/>
    <n v="3901"/>
    <d v="2024-06-10T00:00:00"/>
    <d v="2024-07-05T00:00:00"/>
    <x v="0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x v="4"/>
    <m/>
    <s v="FashionDeals"/>
    <x v="2"/>
    <n v="0.10339256865912763"/>
    <n v="2048"/>
    <d v="2024-10-05T00:00:00"/>
    <d v="2024-11-05T00:00:00"/>
    <x v="0"/>
  </r>
  <r>
    <s v="P097"/>
    <x v="2"/>
    <d v="2024-08-13T00:00:00"/>
    <x v="4"/>
    <s v="Explore the latest image on Myntra! Trendy styles await."/>
    <n v="4739"/>
    <n v="527"/>
    <n v="135"/>
    <n v="61607"/>
    <n v="61333"/>
    <n v="36"/>
    <x v="2"/>
    <s v="MyntraSale"/>
    <s v="StyleWithMyntra,MyntraSale"/>
    <x v="1"/>
    <n v="8.7668609086629767E-2"/>
    <n v="5401"/>
    <d v="2024-06-10T00:00:00"/>
    <d v="2024-07-05T00:00:00"/>
    <x v="0"/>
  </r>
  <r>
    <s v="P098"/>
    <x v="0"/>
    <d v="2024-06-10T00:00:00"/>
    <x v="2"/>
    <s v="Explore the latest story on Myntra! Trendy styles await."/>
    <n v="1575"/>
    <n v="771"/>
    <n v="486"/>
    <n v="25200"/>
    <n v="24826"/>
    <n v="17"/>
    <x v="2"/>
    <m/>
    <s v="StyleWithMyntra"/>
    <x v="2"/>
    <n v="0.11238095238095239"/>
    <n v="2832"/>
    <d v="2024-10-05T00:00:00"/>
    <d v="2024-11-05T00:00:00"/>
    <x v="0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x v="2"/>
    <m/>
    <s v="StyleWithMyntra"/>
    <x v="2"/>
    <n v="7.2000119875329657E-2"/>
    <n v="4805"/>
    <d v="2024-10-05T00:00:00"/>
    <d v="2024-11-05T00:00:00"/>
    <x v="0"/>
  </r>
  <r>
    <s v="P100"/>
    <x v="1"/>
    <d v="2025-02-10T00:00:00"/>
    <x v="5"/>
    <s v="Explore the latest video on Myntra! Trendy styles await."/>
    <n v="1766"/>
    <n v="92"/>
    <n v="424"/>
    <n v="24724"/>
    <n v="24333"/>
    <n v="52"/>
    <x v="2"/>
    <m/>
    <s v="StyleWithMyntra"/>
    <x v="0"/>
    <n v="9.2298980747451867E-2"/>
    <n v="2282"/>
    <d v="2024-08-01T00:00:00"/>
    <d v="2024-08-31T00:00:00"/>
    <x v="0"/>
  </r>
  <r>
    <s v="P101"/>
    <x v="1"/>
    <d v="2024-10-18T00:00:00"/>
    <x v="5"/>
    <s v="Explore the latest video on Myntra! Trendy styles await."/>
    <n v="4450"/>
    <n v="983"/>
    <n v="143"/>
    <n v="75650"/>
    <n v="75008"/>
    <n v="12"/>
    <x v="0"/>
    <s v="StyleWithMyntra"/>
    <s v="MyntraSale,StyleWithMyntra"/>
    <x v="1"/>
    <n v="7.3707865168539333E-2"/>
    <n v="5576"/>
    <d v="2024-06-10T00:00:00"/>
    <d v="2024-07-05T00:00:00"/>
    <x v="0"/>
  </r>
  <r>
    <s v="P102"/>
    <x v="0"/>
    <d v="2024-09-18T00:00:00"/>
    <x v="0"/>
    <s v="Explore the latest reel on Myntra! Trendy styles await."/>
    <n v="1000"/>
    <n v="978"/>
    <n v="162"/>
    <n v="6000"/>
    <n v="5221"/>
    <n v="223"/>
    <x v="3"/>
    <s v="MyntraFashion"/>
    <s v="MyntraTrend,MyntraFashion"/>
    <x v="2"/>
    <n v="0.35666666666666669"/>
    <n v="2140"/>
    <d v="2024-10-05T00:00:00"/>
    <d v="2024-11-05T00:00:00"/>
    <x v="0"/>
  </r>
  <r>
    <s v="P103"/>
    <x v="3"/>
    <d v="2024-06-11T00:00:00"/>
    <x v="4"/>
    <s v="Explore the latest image on Myntra! Trendy styles await."/>
    <n v="3689"/>
    <n v="48"/>
    <n v="306"/>
    <n v="40579"/>
    <n v="39588"/>
    <n v="212"/>
    <x v="3"/>
    <m/>
    <s v="MyntraTrend"/>
    <x v="0"/>
    <n v="9.9632815002833983E-2"/>
    <n v="4043"/>
    <d v="2024-08-01T00:00:00"/>
    <d v="2024-08-31T00:00:00"/>
    <x v="0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x v="3"/>
    <m/>
    <s v="MyntraTrend"/>
    <x v="3"/>
    <n v="0.13707250341997265"/>
    <n v="4509"/>
    <d v="2025-01-10T00:00:00"/>
    <d v="2025-02-10T00:00:00"/>
    <x v="0"/>
  </r>
  <r>
    <s v="P105"/>
    <x v="2"/>
    <d v="2024-06-14T00:00:00"/>
    <x v="3"/>
    <s v="Explore the latest carousel on Myntra! Trendy styles await."/>
    <n v="498"/>
    <n v="38"/>
    <n v="42"/>
    <n v="4482"/>
    <n v="3647"/>
    <n v="32"/>
    <x v="2"/>
    <s v="FashionDeals"/>
    <s v="StyleWithMyntra,FashionDeals"/>
    <x v="3"/>
    <n v="0.12896028558679162"/>
    <n v="578"/>
    <d v="2025-01-10T00:00:00"/>
    <d v="2025-02-10T00:00:00"/>
    <x v="0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x v="1"/>
    <m/>
    <s v="MyntraFashion"/>
    <x v="0"/>
    <n v="8.5718409468138843E-2"/>
    <n v="5939"/>
    <d v="2024-08-01T00:00:00"/>
    <d v="2024-08-31T00:00:00"/>
    <x v="0"/>
  </r>
  <r>
    <s v="P107"/>
    <x v="1"/>
    <d v="2024-06-21T00:00:00"/>
    <x v="4"/>
    <s v="Explore the latest image on Myntra! Trendy styles await."/>
    <n v="4832"/>
    <n v="893"/>
    <n v="10"/>
    <n v="91808"/>
    <n v="91296"/>
    <n v="182"/>
    <x v="0"/>
    <s v="StyleWithMyntra"/>
    <s v="MyntraSale,StyleWithMyntra"/>
    <x v="2"/>
    <n v="6.2467323109097243E-2"/>
    <n v="5735"/>
    <d v="2024-10-05T00:00:00"/>
    <d v="2024-11-05T00:00:00"/>
    <x v="0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x v="2"/>
    <s v="FashionDeals"/>
    <s v="StyleWithMyntra,FashionDeals"/>
    <x v="0"/>
    <n v="0.10005698005698006"/>
    <n v="5268"/>
    <d v="2024-08-01T00:00:00"/>
    <d v="2024-08-31T00:00:00"/>
    <x v="0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x v="1"/>
    <s v="StyleWithMyntra"/>
    <s v="MyntraFashion,StyleWithMyntra"/>
    <x v="0"/>
    <n v="0.16744313510550835"/>
    <n v="4277"/>
    <d v="2024-08-01T00:00:00"/>
    <d v="2024-08-31T00:00:00"/>
    <x v="1"/>
  </r>
  <r>
    <s v="P110"/>
    <x v="2"/>
    <d v="2024-07-29T00:00:00"/>
    <x v="0"/>
    <s v="Explore the latest reel on Myntra! Trendy styles await."/>
    <n v="3523"/>
    <n v="753"/>
    <n v="482"/>
    <n v="38753"/>
    <n v="38579"/>
    <n v="270"/>
    <x v="4"/>
    <s v="StyleWithMyntra"/>
    <s v="FashionDeals,StyleWithMyntra"/>
    <x v="1"/>
    <n v="0.12277759141227776"/>
    <n v="4758"/>
    <d v="2024-06-10T00:00:00"/>
    <d v="2024-07-05T00:00:00"/>
    <x v="0"/>
  </r>
  <r>
    <s v="P111"/>
    <x v="1"/>
    <d v="2024-11-23T00:00:00"/>
    <x v="4"/>
    <s v="Explore the latest image on Myntra! Trendy styles await."/>
    <n v="2719"/>
    <n v="17"/>
    <n v="285"/>
    <n v="40785"/>
    <n v="40281"/>
    <n v="40"/>
    <x v="1"/>
    <s v="StyleWithMyntra"/>
    <s v="MyntraFashion,StyleWithMyntra"/>
    <x v="2"/>
    <n v="7.4071349760941527E-2"/>
    <n v="3021"/>
    <d v="2024-10-05T00:00:00"/>
    <d v="2024-11-05T00:00:00"/>
    <x v="0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x v="1"/>
    <s v="MyntraSale"/>
    <s v="MyntraFashion,MyntraSale"/>
    <x v="2"/>
    <n v="0.17441662408448305"/>
    <n v="3072"/>
    <d v="2024-10-05T00:00:00"/>
    <d v="2024-11-05T00:00:00"/>
    <x v="1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x v="3"/>
    <m/>
    <s v="MyntraTrend"/>
    <x v="3"/>
    <n v="0.11369088028965829"/>
    <n v="5024"/>
    <d v="2025-01-10T00:00:00"/>
    <d v="2025-02-10T00:00:00"/>
    <x v="0"/>
  </r>
  <r>
    <s v="P114"/>
    <x v="0"/>
    <d v="2024-11-14T00:00:00"/>
    <x v="2"/>
    <s v="Explore the latest story on Myntra! Trendy styles await."/>
    <n v="4000"/>
    <n v="689"/>
    <n v="488"/>
    <n v="40000"/>
    <n v="39569"/>
    <n v="44"/>
    <x v="4"/>
    <s v="MyntraFashion"/>
    <s v="FashionDeals,MyntraFashion"/>
    <x v="2"/>
    <n v="0.12942500000000001"/>
    <n v="5177"/>
    <d v="2024-10-05T00:00:00"/>
    <d v="2024-11-05T00:00:00"/>
    <x v="0"/>
  </r>
  <r>
    <s v="P115"/>
    <x v="0"/>
    <d v="2025-05-11T00:00:00"/>
    <x v="4"/>
    <s v="Explore the latest image on Myntra! Trendy styles await."/>
    <n v="2493"/>
    <n v="97"/>
    <n v="44"/>
    <n v="42381"/>
    <n v="41991"/>
    <n v="242"/>
    <x v="0"/>
    <s v="StyleWithMyntra"/>
    <s v="MyntraSale,StyleWithMyntra"/>
    <x v="0"/>
    <n v="6.2150491965739366E-2"/>
    <n v="2634"/>
    <d v="2024-08-01T00:00:00"/>
    <d v="2024-08-31T00:00:00"/>
    <x v="0"/>
  </r>
  <r>
    <s v="P116"/>
    <x v="1"/>
    <d v="2025-03-18T00:00:00"/>
    <x v="0"/>
    <s v="Explore the latest reel on Myntra! Trendy styles await."/>
    <n v="3704"/>
    <n v="186"/>
    <n v="458"/>
    <n v="25928"/>
    <n v="25081"/>
    <n v="131"/>
    <x v="2"/>
    <m/>
    <s v="StyleWithMyntra"/>
    <x v="0"/>
    <n v="0.16769515581610614"/>
    <n v="4348"/>
    <d v="2024-08-01T00:00:00"/>
    <d v="2024-08-31T00:00:00"/>
    <x v="0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x v="0"/>
    <s v="StyleWithMyntra"/>
    <s v="MyntraSale,StyleWithMyntra"/>
    <x v="1"/>
    <n v="0.11792317271769326"/>
    <n v="2462"/>
    <d v="2024-06-10T00:00:00"/>
    <d v="2024-07-05T00:00:00"/>
    <x v="0"/>
  </r>
  <r>
    <s v="P118"/>
    <x v="3"/>
    <d v="2024-11-04T00:00:00"/>
    <x v="4"/>
    <s v="Explore the latest image on Myntra! Trendy styles await."/>
    <n v="4551"/>
    <n v="714"/>
    <n v="207"/>
    <n v="68265"/>
    <n v="67754"/>
    <n v="57"/>
    <x v="3"/>
    <m/>
    <s v="MyntraTrend"/>
    <x v="1"/>
    <n v="8.0158206987475278E-2"/>
    <n v="5472"/>
    <d v="2024-06-10T00:00:00"/>
    <d v="2024-07-05T00:00:00"/>
    <x v="0"/>
  </r>
  <r>
    <s v="P119"/>
    <x v="2"/>
    <d v="2025-02-07T00:00:00"/>
    <x v="0"/>
    <s v="Explore the latest reel on Myntra! Trendy styles await."/>
    <n v="1970"/>
    <n v="675"/>
    <n v="478"/>
    <n v="9850"/>
    <n v="8924"/>
    <n v="117"/>
    <x v="3"/>
    <m/>
    <s v="MyntraTrend"/>
    <x v="3"/>
    <n v="0.31705583756345179"/>
    <n v="3123"/>
    <d v="2025-01-10T00:00:00"/>
    <d v="2025-02-10T00:00:00"/>
    <x v="1"/>
  </r>
  <r>
    <s v="P120"/>
    <x v="3"/>
    <d v="2024-10-21T00:00:00"/>
    <x v="2"/>
    <s v="Explore the latest story on Myntra! Trendy styles await."/>
    <n v="780"/>
    <n v="928"/>
    <n v="301"/>
    <n v="8580"/>
    <n v="8081"/>
    <n v="91"/>
    <x v="0"/>
    <s v="MyntraFashion"/>
    <s v="MyntraSale,MyntraFashion"/>
    <x v="3"/>
    <n v="0.23414918414918415"/>
    <n v="2009"/>
    <d v="2025-01-10T00:00:00"/>
    <d v="2025-02-10T00:00:00"/>
    <x v="0"/>
  </r>
  <r>
    <s v="P121"/>
    <x v="2"/>
    <d v="2024-07-29T00:00:00"/>
    <x v="2"/>
    <s v="Explore the latest story on Myntra! Trendy styles await."/>
    <n v="498"/>
    <n v="701"/>
    <n v="412"/>
    <n v="4980"/>
    <n v="4185"/>
    <n v="185"/>
    <x v="4"/>
    <s v="StyleWithMyntra"/>
    <s v="FashionDeals,StyleWithMyntra"/>
    <x v="3"/>
    <n v="0.32349397590361445"/>
    <n v="1611"/>
    <d v="2025-01-10T00:00:00"/>
    <d v="2025-02-10T00:00:00"/>
    <x v="0"/>
  </r>
  <r>
    <s v="P122"/>
    <x v="2"/>
    <d v="2024-10-02T00:00:00"/>
    <x v="1"/>
    <s v="Explore the latest text on Myntra! Trendy styles await."/>
    <n v="3432"/>
    <n v="869"/>
    <n v="123"/>
    <n v="54912"/>
    <n v="53916"/>
    <n v="264"/>
    <x v="1"/>
    <s v="MyntraTrend"/>
    <s v="MyntraFashion,MyntraTrend"/>
    <x v="1"/>
    <n v="8.0565268065268064E-2"/>
    <n v="4424"/>
    <d v="2024-06-10T00:00:00"/>
    <d v="2024-07-05T00:00:00"/>
    <x v="0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x v="0"/>
    <s v="MyntraFashion"/>
    <s v="MyntraSale,MyntraFashion"/>
    <x v="1"/>
    <n v="0.23616777446710979"/>
    <n v="5152"/>
    <d v="2024-06-10T00:00:00"/>
    <d v="2024-07-05T00:00:00"/>
    <x v="1"/>
  </r>
  <r>
    <s v="P124"/>
    <x v="1"/>
    <d v="2025-04-06T00:00:00"/>
    <x v="3"/>
    <s v="Explore the latest carousel on Myntra! Trendy styles await."/>
    <n v="736"/>
    <n v="771"/>
    <n v="225"/>
    <n v="5152"/>
    <n v="4706"/>
    <n v="19"/>
    <x v="2"/>
    <m/>
    <s v="StyleWithMyntra"/>
    <x v="2"/>
    <n v="0.33618012422360249"/>
    <n v="1732"/>
    <d v="2024-10-05T00:00:00"/>
    <d v="2024-11-05T00:00:00"/>
    <x v="0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x v="2"/>
    <m/>
    <s v="StyleWithMyntra"/>
    <x v="2"/>
    <n v="0.14265722032712325"/>
    <n v="4893"/>
    <d v="2024-10-05T00:00:00"/>
    <d v="2024-11-05T00:00:00"/>
    <x v="0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x v="1"/>
    <m/>
    <s v="MyntraFashion"/>
    <x v="1"/>
    <n v="9.9829463465827106E-2"/>
    <n v="4566"/>
    <d v="2024-06-10T00:00:00"/>
    <d v="2024-07-05T00:00:00"/>
    <x v="0"/>
  </r>
  <r>
    <s v="P127"/>
    <x v="3"/>
    <d v="2025-01-27T00:00:00"/>
    <x v="0"/>
    <s v="Explore the latest reel on Myntra! Trendy styles await."/>
    <n v="3452"/>
    <n v="652"/>
    <n v="442"/>
    <n v="65588"/>
    <n v="65049"/>
    <n v="158"/>
    <x v="0"/>
    <s v="StyleWithMyntra"/>
    <s v="MyntraSale,StyleWithMyntra"/>
    <x v="0"/>
    <n v="6.9311459413307311E-2"/>
    <n v="4546"/>
    <d v="2024-08-01T00:00:00"/>
    <d v="2024-08-31T00:00:00"/>
    <x v="0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x v="2"/>
    <m/>
    <s v="StyleWithMyntra"/>
    <x v="3"/>
    <n v="0.12537731780940059"/>
    <n v="3489"/>
    <d v="2025-01-10T00:00:00"/>
    <d v="2025-02-10T00:00:00"/>
    <x v="1"/>
  </r>
  <r>
    <s v="P129"/>
    <x v="0"/>
    <d v="2024-07-21T00:00:00"/>
    <x v="1"/>
    <s v="Explore the latest text on Myntra! Trendy styles await."/>
    <n v="2147"/>
    <n v="430"/>
    <n v="393"/>
    <n v="17176"/>
    <n v="16483"/>
    <n v="170"/>
    <x v="4"/>
    <m/>
    <s v="FashionDeals"/>
    <x v="3"/>
    <n v="0.17291569632044715"/>
    <n v="2970"/>
    <d v="2025-01-10T00:00:00"/>
    <d v="2025-02-10T00:00:00"/>
    <x v="0"/>
  </r>
  <r>
    <s v="P130"/>
    <x v="1"/>
    <d v="2024-09-29T00:00:00"/>
    <x v="0"/>
    <s v="Explore the latest reel on Myntra! Trendy styles await."/>
    <n v="2936"/>
    <n v="439"/>
    <n v="44"/>
    <n v="38168"/>
    <n v="37571"/>
    <n v="22"/>
    <x v="0"/>
    <m/>
    <s v="MyntraSale"/>
    <x v="2"/>
    <n v="8.9577656675749323E-2"/>
    <n v="3419"/>
    <d v="2024-10-05T00:00:00"/>
    <d v="2024-11-05T00:00:00"/>
    <x v="0"/>
  </r>
  <r>
    <s v="P131"/>
    <x v="2"/>
    <d v="2024-10-21T00:00:00"/>
    <x v="0"/>
    <s v="Explore the latest reel on Myntra! Trendy styles await."/>
    <n v="4840"/>
    <n v="658"/>
    <n v="211"/>
    <n v="43560"/>
    <n v="43225"/>
    <n v="57"/>
    <x v="0"/>
    <s v="MyntraFashion"/>
    <s v="MyntraSale,MyntraFashion"/>
    <x v="1"/>
    <n v="0.13106060606060607"/>
    <n v="5709"/>
    <d v="2024-06-10T00:00:00"/>
    <d v="2024-07-05T00:00:00"/>
    <x v="0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x v="1"/>
    <m/>
    <s v="MyntraFashion"/>
    <x v="1"/>
    <n v="0.13493953401503478"/>
    <n v="2890"/>
    <d v="2024-06-10T00:00:00"/>
    <d v="2024-07-05T00:00:00"/>
    <x v="0"/>
  </r>
  <r>
    <s v="P133"/>
    <x v="3"/>
    <d v="2025-02-06T00:00:00"/>
    <x v="4"/>
    <s v="Explore the latest image on Myntra! Trendy styles await."/>
    <n v="2072"/>
    <n v="532"/>
    <n v="71"/>
    <n v="37296"/>
    <n v="36467"/>
    <n v="25"/>
    <x v="0"/>
    <m/>
    <s v="MyntraSale"/>
    <x v="2"/>
    <n v="7.172350922350923E-2"/>
    <n v="2675"/>
    <d v="2024-10-05T00:00:00"/>
    <d v="2024-11-05T00:00:00"/>
    <x v="0"/>
  </r>
  <r>
    <s v="P134"/>
    <x v="0"/>
    <d v="2025-04-24T00:00:00"/>
    <x v="0"/>
    <s v="Explore the latest reel on Myntra! Trendy styles await."/>
    <n v="3731"/>
    <n v="115"/>
    <n v="135"/>
    <n v="55965"/>
    <n v="55436"/>
    <n v="103"/>
    <x v="4"/>
    <m/>
    <s v="FashionDeals"/>
    <x v="3"/>
    <n v="7.1133744304476013E-2"/>
    <n v="3981"/>
    <d v="2025-01-10T00:00:00"/>
    <d v="2025-02-10T00:00:00"/>
    <x v="0"/>
  </r>
  <r>
    <s v="P135"/>
    <x v="3"/>
    <d v="2024-11-28T00:00:00"/>
    <x v="1"/>
    <s v="Explore the latest text on Myntra! Trendy styles await."/>
    <n v="4213"/>
    <n v="253"/>
    <n v="434"/>
    <n v="75834"/>
    <n v="75437"/>
    <n v="272"/>
    <x v="3"/>
    <m/>
    <s v="MyntraTrend"/>
    <x v="2"/>
    <n v="6.461481657304112E-2"/>
    <n v="4900"/>
    <d v="2024-10-05T00:00:00"/>
    <d v="2024-11-05T00:00:00"/>
    <x v="0"/>
  </r>
  <r>
    <s v="P136"/>
    <x v="2"/>
    <d v="2024-07-11T00:00:00"/>
    <x v="1"/>
    <s v="Explore the latest text on Myntra! Trendy styles await."/>
    <n v="3134"/>
    <n v="888"/>
    <n v="444"/>
    <n v="21938"/>
    <n v="21337"/>
    <n v="130"/>
    <x v="0"/>
    <s v="MyntraFashion"/>
    <s v="MyntraSale,MyntraFashion"/>
    <x v="3"/>
    <n v="0.20357370772176134"/>
    <n v="4466"/>
    <d v="2025-01-10T00:00:00"/>
    <d v="2025-02-10T00:00:00"/>
    <x v="0"/>
  </r>
  <r>
    <s v="P137"/>
    <x v="3"/>
    <d v="2024-07-31T00:00:00"/>
    <x v="5"/>
    <s v="Explore the latest video on Myntra! Trendy styles await."/>
    <n v="3008"/>
    <n v="94"/>
    <n v="37"/>
    <n v="15040"/>
    <n v="14639"/>
    <n v="277"/>
    <x v="4"/>
    <m/>
    <s v="FashionDeals"/>
    <x v="0"/>
    <n v="0.20871010638297871"/>
    <n v="3139"/>
    <d v="2024-08-01T00:00:00"/>
    <d v="2024-08-31T00:00:00"/>
    <x v="0"/>
  </r>
  <r>
    <s v="P138"/>
    <x v="0"/>
    <d v="2025-03-29T00:00:00"/>
    <x v="4"/>
    <s v="Explore the latest image on Myntra! Trendy styles await."/>
    <n v="305"/>
    <n v="187"/>
    <n v="243"/>
    <n v="4575"/>
    <n v="3704"/>
    <n v="234"/>
    <x v="1"/>
    <s v="MyntraTrend"/>
    <s v="MyntraFashion,MyntraTrend"/>
    <x v="3"/>
    <n v="0.16065573770491803"/>
    <n v="735"/>
    <d v="2025-01-10T00:00:00"/>
    <d v="2025-02-10T00:00:00"/>
    <x v="0"/>
  </r>
  <r>
    <s v="P139"/>
    <x v="1"/>
    <d v="2024-10-29T00:00:00"/>
    <x v="1"/>
    <s v="Explore the latest text on Myntra! Trendy styles await."/>
    <n v="2746"/>
    <n v="156"/>
    <n v="203"/>
    <n v="32952"/>
    <n v="32147"/>
    <n v="147"/>
    <x v="1"/>
    <s v="StyleWithMyntra"/>
    <s v="MyntraFashion,StyleWithMyntra"/>
    <x v="1"/>
    <n v="9.422796795338674E-2"/>
    <n v="3105"/>
    <d v="2024-06-10T00:00:00"/>
    <d v="2024-07-05T00:00:00"/>
    <x v="0"/>
  </r>
  <r>
    <s v="P140"/>
    <x v="3"/>
    <d v="2024-07-15T00:00:00"/>
    <x v="4"/>
    <s v="Explore the latest image on Myntra! Trendy styles await."/>
    <n v="2291"/>
    <n v="78"/>
    <n v="485"/>
    <n v="18328"/>
    <n v="18101"/>
    <n v="10"/>
    <x v="4"/>
    <m/>
    <s v="FashionDeals"/>
    <x v="0"/>
    <n v="0.15571802706241816"/>
    <n v="2854"/>
    <d v="2024-08-01T00:00:00"/>
    <d v="2024-08-31T00:00:00"/>
    <x v="0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x v="0"/>
    <m/>
    <s v="MyntraSale"/>
    <x v="2"/>
    <n v="0.2316508937960042"/>
    <n v="4406"/>
    <d v="2024-10-05T00:00:00"/>
    <d v="2024-11-05T00:00:00"/>
    <x v="0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x v="0"/>
    <m/>
    <s v="MyntraSale"/>
    <x v="3"/>
    <n v="6.9438087973557078E-2"/>
    <n v="2731"/>
    <d v="2025-01-10T00:00:00"/>
    <d v="2025-02-10T00:00:00"/>
    <x v="0"/>
  </r>
  <r>
    <s v="P143"/>
    <x v="1"/>
    <d v="2024-10-02T00:00:00"/>
    <x v="3"/>
    <s v="Explore the latest carousel on Myntra! Trendy styles await."/>
    <n v="80"/>
    <n v="362"/>
    <n v="80"/>
    <n v="1040"/>
    <n v="349"/>
    <n v="117"/>
    <x v="1"/>
    <s v="StyleWithMyntra"/>
    <s v="MyntraFashion,StyleWithMyntra"/>
    <x v="1"/>
    <n v="0.50192307692307692"/>
    <n v="522"/>
    <d v="2024-06-10T00:00:00"/>
    <d v="2024-07-05T00:00:00"/>
    <x v="0"/>
  </r>
  <r>
    <s v="P144"/>
    <x v="1"/>
    <d v="2024-10-28T00:00:00"/>
    <x v="2"/>
    <s v="Explore the latest story on Myntra! Trendy styles await."/>
    <n v="4929"/>
    <n v="749"/>
    <n v="452"/>
    <n v="93651"/>
    <n v="92810"/>
    <n v="66"/>
    <x v="3"/>
    <s v="StyleWithMyntra"/>
    <s v="MyntraTrend,StyleWithMyntra"/>
    <x v="0"/>
    <n v="6.5455787978772245E-2"/>
    <n v="6130"/>
    <d v="2024-08-01T00:00:00"/>
    <d v="2024-08-31T00:00:00"/>
    <x v="0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x v="4"/>
    <s v="MyntraTrend"/>
    <s v="FashionDeals,MyntraTrend"/>
    <x v="0"/>
    <n v="5.6416400425985093E-2"/>
    <n v="2119"/>
    <d v="2024-08-01T00:00:00"/>
    <d v="2024-08-31T00:00:00"/>
    <x v="1"/>
  </r>
  <r>
    <s v="P146"/>
    <x v="1"/>
    <d v="2024-06-05T00:00:00"/>
    <x v="0"/>
    <s v="Explore the latest reel on Myntra! Trendy styles await."/>
    <n v="3065"/>
    <n v="772"/>
    <n v="142"/>
    <n v="18390"/>
    <n v="17875"/>
    <n v="200"/>
    <x v="2"/>
    <m/>
    <s v="StyleWithMyntra"/>
    <x v="0"/>
    <n v="0.21636759108210984"/>
    <n v="3979"/>
    <d v="2024-08-01T00:00:00"/>
    <d v="2024-08-31T00:00:00"/>
    <x v="0"/>
  </r>
  <r>
    <s v="P147"/>
    <x v="2"/>
    <d v="2024-10-21T00:00:00"/>
    <x v="0"/>
    <s v="Explore the latest reel on Myntra! Trendy styles await."/>
    <n v="3256"/>
    <n v="459"/>
    <n v="266"/>
    <n v="26048"/>
    <n v="25529"/>
    <n v="143"/>
    <x v="0"/>
    <s v="StyleWithMyntra"/>
    <s v="MyntraSale,StyleWithMyntra"/>
    <x v="2"/>
    <n v="0.15283323095823095"/>
    <n v="3981"/>
    <d v="2024-10-05T00:00:00"/>
    <d v="2024-11-05T00:00:00"/>
    <x v="1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x v="2"/>
    <m/>
    <s v="StyleWithMyntra"/>
    <x v="1"/>
    <n v="0.19864505202032423"/>
    <n v="4926"/>
    <d v="2024-06-10T00:00:00"/>
    <d v="2024-07-05T00:00:00"/>
    <x v="0"/>
  </r>
  <r>
    <s v="P149"/>
    <x v="0"/>
    <d v="2024-06-16T00:00:00"/>
    <x v="5"/>
    <s v="Explore the latest video on Myntra! Trendy styles await."/>
    <n v="1702"/>
    <n v="750"/>
    <n v="179"/>
    <n v="34040"/>
    <n v="33174"/>
    <n v="76"/>
    <x v="3"/>
    <m/>
    <s v="MyntraTrend"/>
    <x v="2"/>
    <n v="7.7291421856639245E-2"/>
    <n v="2631"/>
    <d v="2024-10-05T00:00:00"/>
    <d v="2024-11-05T00:00:00"/>
    <x v="0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x v="3"/>
    <s v="MyntraSale"/>
    <s v="MyntraTrend,MyntraSale"/>
    <x v="1"/>
    <n v="6.3713620488940623E-2"/>
    <n v="5473"/>
    <d v="2024-06-10T00:00:00"/>
    <d v="2024-07-05T00:00:00"/>
    <x v="0"/>
  </r>
  <r>
    <s v="P151"/>
    <x v="2"/>
    <d v="2024-07-26T00:00:00"/>
    <x v="4"/>
    <s v="Explore the latest image on Myntra! Trendy styles await."/>
    <n v="3559"/>
    <n v="59"/>
    <n v="289"/>
    <n v="35590"/>
    <n v="35105"/>
    <n v="122"/>
    <x v="3"/>
    <s v="StyleWithMyntra"/>
    <s v="MyntraTrend,StyleWithMyntra"/>
    <x v="2"/>
    <n v="0.10977802753582468"/>
    <n v="3907"/>
    <d v="2024-10-05T00:00:00"/>
    <d v="2024-11-05T00:00:00"/>
    <x v="0"/>
  </r>
  <r>
    <s v="P152"/>
    <x v="3"/>
    <d v="2025-04-22T00:00:00"/>
    <x v="4"/>
    <s v="Explore the latest image on Myntra! Trendy styles await."/>
    <n v="4804"/>
    <n v="550"/>
    <n v="270"/>
    <n v="28824"/>
    <n v="28370"/>
    <n v="47"/>
    <x v="0"/>
    <s v="StyleWithMyntra"/>
    <s v="MyntraSale,StyleWithMyntra"/>
    <x v="3"/>
    <n v="0.19511518179295032"/>
    <n v="5624"/>
    <d v="2025-01-10T00:00:00"/>
    <d v="2025-02-10T00:00:00"/>
    <x v="0"/>
  </r>
  <r>
    <s v="P153"/>
    <x v="0"/>
    <d v="2025-01-01T00:00:00"/>
    <x v="5"/>
    <s v="Explore the latest video on Myntra! Trendy styles await."/>
    <n v="754"/>
    <n v="197"/>
    <n v="257"/>
    <n v="6786"/>
    <n v="6221"/>
    <n v="212"/>
    <x v="4"/>
    <s v="MyntraTrend"/>
    <s v="FashionDeals,MyntraTrend"/>
    <x v="2"/>
    <n v="0.17801355732390214"/>
    <n v="1208"/>
    <d v="2024-10-05T00:00:00"/>
    <d v="2024-11-05T00:00:00"/>
    <x v="0"/>
  </r>
  <r>
    <s v="P154"/>
    <x v="2"/>
    <d v="2024-10-09T00:00:00"/>
    <x v="3"/>
    <s v="Explore the latest carousel on Myntra! Trendy styles await."/>
    <n v="985"/>
    <n v="932"/>
    <n v="287"/>
    <n v="6895"/>
    <n v="6757"/>
    <n v="64"/>
    <x v="0"/>
    <s v="MyntraFashion"/>
    <s v="MyntraSale,MyntraFashion"/>
    <x v="1"/>
    <n v="0.31965192168237855"/>
    <n v="2204"/>
    <d v="2024-06-10T00:00:00"/>
    <d v="2024-07-05T00:00:00"/>
    <x v="0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x v="1"/>
    <s v="StyleWithMyntra"/>
    <s v="MyntraFashion,StyleWithMyntra"/>
    <x v="2"/>
    <n v="0.11489268506351293"/>
    <n v="2623"/>
    <d v="2024-10-05T00:00:00"/>
    <d v="2024-11-05T00:00:00"/>
    <x v="0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x v="3"/>
    <m/>
    <s v="MyntraTrend"/>
    <x v="2"/>
    <n v="0.1095786671562328"/>
    <n v="4775"/>
    <d v="2024-10-05T00:00:00"/>
    <d v="2024-11-05T00:00:00"/>
    <x v="1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x v="2"/>
    <s v="MyntraTrend"/>
    <s v="StyleWithMyntra,MyntraTrend"/>
    <x v="3"/>
    <n v="0.10793717277486911"/>
    <n v="5154"/>
    <d v="2025-01-10T00:00:00"/>
    <d v="2025-02-10T00:00:00"/>
    <x v="0"/>
  </r>
  <r>
    <s v="P158"/>
    <x v="2"/>
    <d v="2024-08-11T00:00:00"/>
    <x v="2"/>
    <s v="Explore the latest story on Myntra! Trendy styles await."/>
    <n v="1762"/>
    <n v="405"/>
    <n v="423"/>
    <n v="22906"/>
    <n v="21925"/>
    <n v="25"/>
    <x v="4"/>
    <m/>
    <s v="FashionDeals"/>
    <x v="1"/>
    <n v="0.11307081114118571"/>
    <n v="2590"/>
    <d v="2024-06-10T00:00:00"/>
    <d v="2024-07-05T00:00:00"/>
    <x v="0"/>
  </r>
  <r>
    <s v="P159"/>
    <x v="3"/>
    <d v="2024-11-25T00:00:00"/>
    <x v="2"/>
    <s v="Explore the latest story on Myntra! Trendy styles await."/>
    <n v="2120"/>
    <n v="158"/>
    <n v="488"/>
    <n v="12720"/>
    <n v="12085"/>
    <n v="17"/>
    <x v="2"/>
    <s v="MyntraTrend"/>
    <s v="StyleWithMyntra,MyntraTrend"/>
    <x v="1"/>
    <n v="0.21745283018867925"/>
    <n v="2766"/>
    <d v="2024-06-10T00:00:00"/>
    <d v="2024-07-05T00:00:00"/>
    <x v="0"/>
  </r>
  <r>
    <s v="P160"/>
    <x v="0"/>
    <d v="2024-08-24T00:00:00"/>
    <x v="5"/>
    <s v="Explore the latest video on Myntra! Trendy styles await."/>
    <n v="1082"/>
    <n v="209"/>
    <n v="484"/>
    <n v="19476"/>
    <n v="18654"/>
    <n v="20"/>
    <x v="2"/>
    <m/>
    <s v="StyleWithMyntra"/>
    <x v="3"/>
    <n v="9.1137810638734856E-2"/>
    <n v="1775"/>
    <d v="2025-01-10T00:00:00"/>
    <d v="2025-02-10T00:00:00"/>
    <x v="0"/>
  </r>
  <r>
    <s v="P161"/>
    <x v="0"/>
    <d v="2025-02-19T00:00:00"/>
    <x v="1"/>
    <s v="Explore the latest text on Myntra! Trendy styles await."/>
    <n v="4671"/>
    <n v="876"/>
    <n v="366"/>
    <n v="51381"/>
    <n v="50565"/>
    <n v="245"/>
    <x v="0"/>
    <m/>
    <s v="MyntraSale"/>
    <x v="1"/>
    <n v="0.11508145034156594"/>
    <n v="5913"/>
    <d v="2024-06-10T00:00:00"/>
    <d v="2024-07-05T00:00:00"/>
    <x v="0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x v="3"/>
    <m/>
    <s v="MyntraTrend"/>
    <x v="1"/>
    <n v="8.6630570595585168E-2"/>
    <n v="4160"/>
    <d v="2024-06-10T00:00:00"/>
    <d v="2024-07-05T00:00:00"/>
    <x v="0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x v="1"/>
    <m/>
    <s v="MyntraFashion"/>
    <x v="3"/>
    <n v="0.23101532992668297"/>
    <n v="5199"/>
    <d v="2025-01-10T00:00:00"/>
    <d v="2025-02-10T00:00:00"/>
    <x v="0"/>
  </r>
  <r>
    <s v="P164"/>
    <x v="1"/>
    <d v="2025-02-27T00:00:00"/>
    <x v="1"/>
    <s v="Explore the latest text on Myntra! Trendy styles await."/>
    <n v="4934"/>
    <n v="971"/>
    <n v="156"/>
    <n v="39472"/>
    <n v="39025"/>
    <n v="169"/>
    <x v="4"/>
    <s v="StyleWithMyntra"/>
    <s v="FashionDeals,StyleWithMyntra"/>
    <x v="1"/>
    <n v="0.15355188488042157"/>
    <n v="6061"/>
    <d v="2024-06-10T00:00:00"/>
    <d v="2024-07-05T00:00:00"/>
    <x v="0"/>
  </r>
  <r>
    <s v="P165"/>
    <x v="0"/>
    <d v="2024-12-11T00:00:00"/>
    <x v="1"/>
    <s v="Explore the latest text on Myntra! Trendy styles await."/>
    <n v="3239"/>
    <n v="43"/>
    <n v="211"/>
    <n v="22673"/>
    <n v="22171"/>
    <n v="230"/>
    <x v="3"/>
    <s v="StyleWithMyntra"/>
    <s v="MyntraTrend,StyleWithMyntra"/>
    <x v="1"/>
    <n v="0.15405989502933004"/>
    <n v="3493"/>
    <d v="2024-06-10T00:00:00"/>
    <d v="2024-07-05T00:00:00"/>
    <x v="0"/>
  </r>
  <r>
    <s v="P166"/>
    <x v="0"/>
    <d v="2025-02-16T00:00:00"/>
    <x v="0"/>
    <s v="Explore the latest reel on Myntra! Trendy styles await."/>
    <n v="1076"/>
    <n v="313"/>
    <n v="306"/>
    <n v="11836"/>
    <n v="11596"/>
    <n v="104"/>
    <x v="4"/>
    <m/>
    <s v="FashionDeals"/>
    <x v="1"/>
    <n v="0.14320716458262928"/>
    <n v="1695"/>
    <d v="2024-06-10T00:00:00"/>
    <d v="2024-07-05T00:00:00"/>
    <x v="0"/>
  </r>
  <r>
    <s v="P167"/>
    <x v="2"/>
    <d v="2024-11-28T00:00:00"/>
    <x v="1"/>
    <s v="Explore the latest text on Myntra! Trendy styles await."/>
    <n v="4771"/>
    <n v="818"/>
    <n v="56"/>
    <n v="57252"/>
    <n v="56378"/>
    <n v="150"/>
    <x v="0"/>
    <m/>
    <s v="MyntraSale"/>
    <x v="1"/>
    <n v="9.859917557465242E-2"/>
    <n v="5645"/>
    <d v="2024-06-10T00:00:00"/>
    <d v="2024-07-05T00:00:00"/>
    <x v="0"/>
  </r>
  <r>
    <s v="P168"/>
    <x v="3"/>
    <d v="2024-11-12T00:00:00"/>
    <x v="1"/>
    <s v="Explore the latest text on Myntra! Trendy styles await."/>
    <n v="2418"/>
    <n v="754"/>
    <n v="54"/>
    <n v="43524"/>
    <n v="42743"/>
    <n v="182"/>
    <x v="1"/>
    <s v="MyntraTrend"/>
    <s v="MyntraFashion,MyntraTrend"/>
    <x v="3"/>
    <n v="7.412002573292896E-2"/>
    <n v="3226"/>
    <d v="2025-01-10T00:00:00"/>
    <d v="2025-02-10T00:00:00"/>
    <x v="0"/>
  </r>
  <r>
    <s v="P169"/>
    <x v="1"/>
    <d v="2024-12-03T00:00:00"/>
    <x v="5"/>
    <s v="Explore the latest video on Myntra! Trendy styles await."/>
    <n v="3809"/>
    <n v="273"/>
    <n v="200"/>
    <n v="34281"/>
    <n v="33534"/>
    <n v="83"/>
    <x v="3"/>
    <m/>
    <s v="MyntraTrend"/>
    <x v="2"/>
    <n v="0.12490884163239112"/>
    <n v="4282"/>
    <d v="2024-10-05T00:00:00"/>
    <d v="2024-11-05T00:00:00"/>
    <x v="0"/>
  </r>
  <r>
    <s v="P170"/>
    <x v="0"/>
    <d v="2025-04-28T00:00:00"/>
    <x v="1"/>
    <s v="Explore the latest text on Myntra! Trendy styles await."/>
    <n v="3577"/>
    <n v="596"/>
    <n v="493"/>
    <n v="67963"/>
    <n v="67839"/>
    <n v="53"/>
    <x v="2"/>
    <s v="MyntraTrend"/>
    <s v="StyleWithMyntra,MyntraTrend"/>
    <x v="3"/>
    <n v="6.8655003457763777E-2"/>
    <n v="4666"/>
    <d v="2025-01-10T00:00:00"/>
    <d v="2025-02-10T00:00:00"/>
    <x v="0"/>
  </r>
  <r>
    <s v="P171"/>
    <x v="1"/>
    <d v="2024-12-31T00:00:00"/>
    <x v="5"/>
    <s v="Explore the latest video on Myntra! Trendy styles await."/>
    <n v="1018"/>
    <n v="447"/>
    <n v="332"/>
    <n v="18324"/>
    <n v="18164"/>
    <n v="38"/>
    <x v="0"/>
    <s v="MyntraFashion"/>
    <s v="MyntraSale,MyntraFashion"/>
    <x v="3"/>
    <n v="9.8068107400130972E-2"/>
    <n v="1797"/>
    <d v="2025-01-10T00:00:00"/>
    <d v="2025-02-10T00:00:00"/>
    <x v="0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x v="1"/>
    <s v="StyleWithMyntra"/>
    <s v="MyntraFashion,StyleWithMyntra"/>
    <x v="3"/>
    <n v="7.2739802071170159E-2"/>
    <n v="3800"/>
    <d v="2025-01-10T00:00:00"/>
    <d v="2025-02-10T00:00:00"/>
    <x v="0"/>
  </r>
  <r>
    <s v="P173"/>
    <x v="0"/>
    <d v="2024-12-05T00:00:00"/>
    <x v="5"/>
    <s v="Explore the latest video on Myntra! Trendy styles await."/>
    <n v="1330"/>
    <n v="925"/>
    <n v="35"/>
    <n v="15960"/>
    <n v="15379"/>
    <n v="229"/>
    <x v="4"/>
    <s v="MyntraTrend"/>
    <s v="FashionDeals,MyntraTrend"/>
    <x v="3"/>
    <n v="0.14348370927318296"/>
    <n v="2290"/>
    <d v="2025-01-10T00:00:00"/>
    <d v="2025-02-10T00:00:00"/>
    <x v="0"/>
  </r>
  <r>
    <s v="P174"/>
    <x v="3"/>
    <d v="2024-06-22T00:00:00"/>
    <x v="1"/>
    <s v="Explore the latest text on Myntra! Trendy styles await."/>
    <n v="3828"/>
    <n v="148"/>
    <n v="253"/>
    <n v="30624"/>
    <n v="30229"/>
    <n v="235"/>
    <x v="0"/>
    <s v="StyleWithMyntra"/>
    <s v="MyntraSale,StyleWithMyntra"/>
    <x v="3"/>
    <n v="0.13809430512016718"/>
    <n v="4229"/>
    <d v="2025-01-10T00:00:00"/>
    <d v="2025-02-10T00:00:00"/>
    <x v="0"/>
  </r>
  <r>
    <s v="P175"/>
    <x v="2"/>
    <d v="2025-01-17T00:00:00"/>
    <x v="0"/>
    <s v="Explore the latest reel on Myntra! Trendy styles await."/>
    <n v="142"/>
    <n v="784"/>
    <n v="183"/>
    <n v="1704"/>
    <n v="995"/>
    <n v="154"/>
    <x v="0"/>
    <m/>
    <s v="MyntraSale"/>
    <x v="0"/>
    <n v="0.6508215962441315"/>
    <n v="1109"/>
    <d v="2024-08-01T00:00:00"/>
    <d v="2024-08-31T00:00:00"/>
    <x v="0"/>
  </r>
  <r>
    <s v="P176"/>
    <x v="3"/>
    <d v="2024-06-20T00:00:00"/>
    <x v="5"/>
    <s v="Explore the latest video on Myntra! Trendy styles await."/>
    <n v="3798"/>
    <n v="31"/>
    <n v="279"/>
    <n v="75960"/>
    <n v="75813"/>
    <n v="266"/>
    <x v="1"/>
    <m/>
    <s v="MyntraFashion"/>
    <x v="1"/>
    <n v="5.4081095313322801E-2"/>
    <n v="4108"/>
    <d v="2024-06-10T00:00:00"/>
    <d v="2024-07-05T00:00:00"/>
    <x v="1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x v="4"/>
    <m/>
    <s v="FashionDeals"/>
    <x v="3"/>
    <n v="9.1365878393951966E-2"/>
    <n v="3964"/>
    <d v="2025-01-10T00:00:00"/>
    <d v="2025-02-10T00:00:00"/>
    <x v="0"/>
  </r>
  <r>
    <s v="P178"/>
    <x v="2"/>
    <d v="2024-11-07T00:00:00"/>
    <x v="5"/>
    <s v="Explore the latest video on Myntra! Trendy styles await."/>
    <n v="129"/>
    <n v="643"/>
    <n v="136"/>
    <n v="1290"/>
    <n v="839"/>
    <n v="238"/>
    <x v="2"/>
    <s v="FashionDeals"/>
    <s v="StyleWithMyntra,FashionDeals"/>
    <x v="3"/>
    <n v="0.70387596899224802"/>
    <n v="908"/>
    <d v="2025-01-10T00:00:00"/>
    <d v="2025-02-10T00:00:00"/>
    <x v="0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x v="2"/>
    <m/>
    <s v="StyleWithMyntra"/>
    <x v="0"/>
    <n v="7.5280481001673588E-2"/>
    <n v="4858"/>
    <d v="2024-08-01T00:00:00"/>
    <d v="2024-08-31T00:00:00"/>
    <x v="0"/>
  </r>
  <r>
    <s v="P180"/>
    <x v="1"/>
    <d v="2024-12-03T00:00:00"/>
    <x v="1"/>
    <s v="Explore the latest text on Myntra! Trendy styles await."/>
    <n v="3711"/>
    <n v="352"/>
    <n v="290"/>
    <n v="48243"/>
    <n v="47579"/>
    <n v="11"/>
    <x v="2"/>
    <s v="FashionDeals"/>
    <s v="StyleWithMyntra,FashionDeals"/>
    <x v="3"/>
    <n v="9.023070704558174E-2"/>
    <n v="4353"/>
    <d v="2025-01-10T00:00:00"/>
    <d v="2025-02-10T00:00:00"/>
    <x v="0"/>
  </r>
  <r>
    <s v="P181"/>
    <x v="1"/>
    <d v="2025-03-21T00:00:00"/>
    <x v="4"/>
    <s v="Explore the latest image on Myntra! Trendy styles await."/>
    <n v="606"/>
    <n v="789"/>
    <n v="470"/>
    <n v="7878"/>
    <n v="7389"/>
    <n v="239"/>
    <x v="0"/>
    <m/>
    <s v="MyntraSale"/>
    <x v="1"/>
    <n v="0.23673521198273673"/>
    <n v="1865"/>
    <d v="2024-06-10T00:00:00"/>
    <d v="2024-07-05T00:00:00"/>
    <x v="0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x v="4"/>
    <m/>
    <s v="FashionDeals"/>
    <x v="0"/>
    <n v="0.10132030477519921"/>
    <n v="5226"/>
    <d v="2024-08-01T00:00:00"/>
    <d v="2024-08-31T00:00:00"/>
    <x v="0"/>
  </r>
  <r>
    <s v="P183"/>
    <x v="2"/>
    <d v="2024-12-17T00:00:00"/>
    <x v="2"/>
    <s v="Explore the latest story on Myntra! Trendy styles await."/>
    <n v="360"/>
    <n v="590"/>
    <n v="393"/>
    <n v="4680"/>
    <n v="4322"/>
    <n v="208"/>
    <x v="2"/>
    <s v="FashionDeals"/>
    <s v="StyleWithMyntra,FashionDeals"/>
    <x v="1"/>
    <n v="0.28696581196581195"/>
    <n v="1343"/>
    <d v="2024-06-10T00:00:00"/>
    <d v="2024-07-05T00:00:00"/>
    <x v="0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x v="2"/>
    <m/>
    <s v="StyleWithMyntra"/>
    <x v="2"/>
    <n v="0.13614307931570763"/>
    <n v="4377"/>
    <d v="2024-10-05T00:00:00"/>
    <d v="2024-11-05T00:00:00"/>
    <x v="0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x v="0"/>
    <s v="MyntraTrend"/>
    <s v="MyntraSale,MyntraTrend"/>
    <x v="3"/>
    <n v="9.5290736237010829E-2"/>
    <n v="4741"/>
    <d v="2025-01-10T00:00:00"/>
    <d v="2025-02-10T00:00:00"/>
    <x v="1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x v="3"/>
    <s v="StyleWithMyntra"/>
    <s v="MyntraTrend,StyleWithMyntra"/>
    <x v="0"/>
    <n v="8.4862714173059003E-2"/>
    <n v="4735"/>
    <d v="2024-08-01T00:00:00"/>
    <d v="2024-08-31T00:00:00"/>
    <x v="1"/>
  </r>
  <r>
    <s v="P187"/>
    <x v="0"/>
    <d v="2024-12-22T00:00:00"/>
    <x v="0"/>
    <s v="Explore the latest reel on Myntra! Trendy styles await."/>
    <n v="1644"/>
    <n v="546"/>
    <n v="150"/>
    <n v="27948"/>
    <n v="27184"/>
    <n v="300"/>
    <x v="0"/>
    <s v="MyntraTrend"/>
    <s v="MyntraSale,MyntraTrend"/>
    <x v="0"/>
    <n v="8.3726921425504502E-2"/>
    <n v="2340"/>
    <d v="2024-08-01T00:00:00"/>
    <d v="2024-08-31T00:00:00"/>
    <x v="0"/>
  </r>
  <r>
    <s v="P188"/>
    <x v="1"/>
    <d v="2024-06-06T00:00:00"/>
    <x v="0"/>
    <s v="Explore the latest reel on Myntra! Trendy styles await."/>
    <n v="2728"/>
    <n v="533"/>
    <n v="215"/>
    <n v="40920"/>
    <n v="40816"/>
    <n v="137"/>
    <x v="0"/>
    <m/>
    <s v="MyntraSale"/>
    <x v="1"/>
    <n v="8.4946236559139784E-2"/>
    <n v="3476"/>
    <d v="2024-06-10T00:00:00"/>
    <d v="2024-07-05T00:00:00"/>
    <x v="0"/>
  </r>
  <r>
    <s v="P189"/>
    <x v="3"/>
    <d v="2025-03-24T00:00:00"/>
    <x v="0"/>
    <s v="Explore the latest reel on Myntra! Trendy styles await."/>
    <n v="3360"/>
    <n v="525"/>
    <n v="500"/>
    <n v="60480"/>
    <n v="59610"/>
    <n v="192"/>
    <x v="0"/>
    <s v="StyleWithMyntra"/>
    <s v="MyntraSale,StyleWithMyntra"/>
    <x v="0"/>
    <n v="7.2503306878306875E-2"/>
    <n v="4385"/>
    <d v="2024-08-01T00:00:00"/>
    <d v="2024-08-31T00:00:00"/>
    <x v="0"/>
  </r>
  <r>
    <s v="P190"/>
    <x v="1"/>
    <d v="2024-10-04T00:00:00"/>
    <x v="1"/>
    <s v="Explore the latest text on Myntra! Trendy styles await."/>
    <n v="1963"/>
    <n v="213"/>
    <n v="19"/>
    <n v="39260"/>
    <n v="38771"/>
    <n v="145"/>
    <x v="2"/>
    <m/>
    <s v="StyleWithMyntra"/>
    <x v="0"/>
    <n v="5.5909322465613857E-2"/>
    <n v="2195"/>
    <d v="2024-08-01T00:00:00"/>
    <d v="2024-08-31T00:00:00"/>
    <x v="0"/>
  </r>
  <r>
    <s v="P191"/>
    <x v="1"/>
    <d v="2024-12-03T00:00:00"/>
    <x v="2"/>
    <s v="Explore the latest story on Myntra! Trendy styles await."/>
    <n v="4285"/>
    <n v="886"/>
    <n v="376"/>
    <n v="55705"/>
    <n v="55556"/>
    <n v="51"/>
    <x v="1"/>
    <s v="FashionDeals"/>
    <s v="MyntraFashion,FashionDeals"/>
    <x v="3"/>
    <n v="9.9578134817341346E-2"/>
    <n v="5547"/>
    <d v="2025-01-10T00:00:00"/>
    <d v="2025-02-10T00:00:00"/>
    <x v="0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x v="4"/>
    <m/>
    <s v="FashionDeals"/>
    <x v="0"/>
    <n v="0.1441326530612245"/>
    <n v="2034"/>
    <d v="2024-08-01T00:00:00"/>
    <d v="2024-08-31T00:00:00"/>
    <x v="0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x v="4"/>
    <s v="MyntraTrend"/>
    <s v="FashionDeals,MyntraTrend"/>
    <x v="0"/>
    <n v="9.9255211647142488E-2"/>
    <n v="5304"/>
    <d v="2024-08-01T00:00:00"/>
    <d v="2024-08-31T00:00:00"/>
    <x v="0"/>
  </r>
  <r>
    <s v="P194"/>
    <x v="1"/>
    <d v="2024-10-02T00:00:00"/>
    <x v="2"/>
    <s v="Explore the latest story on Myntra! Trendy styles await."/>
    <n v="4350"/>
    <n v="771"/>
    <n v="7"/>
    <n v="60900"/>
    <n v="60592"/>
    <n v="195"/>
    <x v="4"/>
    <s v="StyleWithMyntra"/>
    <s v="FashionDeals,StyleWithMyntra"/>
    <x v="1"/>
    <n v="8.4203612479474554E-2"/>
    <n v="5128"/>
    <d v="2024-06-10T00:00:00"/>
    <d v="2024-07-05T00:00:00"/>
    <x v="0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x v="1"/>
    <s v="MyntraTrend"/>
    <s v="MyntraFashion,MyntraTrend"/>
    <x v="2"/>
    <n v="0.13667732704931829"/>
    <n v="1624"/>
    <d v="2024-10-05T00:00:00"/>
    <d v="2024-11-05T00:00:00"/>
    <x v="0"/>
  </r>
  <r>
    <s v="P196"/>
    <x v="2"/>
    <d v="2024-12-19T00:00:00"/>
    <x v="1"/>
    <s v="Explore the latest text on Myntra! Trendy styles await."/>
    <n v="1813"/>
    <n v="623"/>
    <n v="72"/>
    <n v="19943"/>
    <n v="18959"/>
    <n v="85"/>
    <x v="3"/>
    <s v="MyntraFashion"/>
    <s v="MyntraTrend,MyntraFashion"/>
    <x v="2"/>
    <n v="0.12575841147269717"/>
    <n v="2508"/>
    <d v="2024-10-05T00:00:00"/>
    <d v="2024-11-05T00:00:00"/>
    <x v="0"/>
  </r>
  <r>
    <s v="P197"/>
    <x v="0"/>
    <d v="2024-10-22T00:00:00"/>
    <x v="0"/>
    <s v="Explore the latest reel on Myntra! Trendy styles await."/>
    <n v="4782"/>
    <n v="721"/>
    <n v="82"/>
    <n v="86076"/>
    <n v="85339"/>
    <n v="19"/>
    <x v="4"/>
    <m/>
    <s v="FashionDeals"/>
    <x v="1"/>
    <n v="6.4884520656164318E-2"/>
    <n v="5585"/>
    <d v="2024-06-10T00:00:00"/>
    <d v="2024-07-05T00:00:00"/>
    <x v="0"/>
  </r>
  <r>
    <s v="P198"/>
    <x v="0"/>
    <d v="2024-09-14T00:00:00"/>
    <x v="4"/>
    <s v="Explore the latest image on Myntra! Trendy styles await."/>
    <n v="1048"/>
    <n v="374"/>
    <n v="450"/>
    <n v="9432"/>
    <n v="8882"/>
    <n v="158"/>
    <x v="3"/>
    <s v="MyntraSale"/>
    <s v="MyntraTrend,MyntraSale"/>
    <x v="1"/>
    <n v="0.19847328244274809"/>
    <n v="1872"/>
    <d v="2024-06-10T00:00:00"/>
    <d v="2024-07-05T00:00:00"/>
    <x v="0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x v="4"/>
    <m/>
    <s v="FashionDeals"/>
    <x v="1"/>
    <n v="8.5520696919660646E-2"/>
    <n v="3004"/>
    <d v="2024-06-10T00:00:00"/>
    <d v="2024-07-05T00:00:00"/>
    <x v="0"/>
  </r>
  <r>
    <s v="P200"/>
    <x v="3"/>
    <d v="2025-04-07T00:00:00"/>
    <x v="0"/>
    <s v="Explore the latest reel on Myntra! Trendy styles await."/>
    <n v="3718"/>
    <n v="385"/>
    <n v="310"/>
    <n v="70642"/>
    <n v="69749"/>
    <n v="233"/>
    <x v="3"/>
    <m/>
    <s v="MyntraTrend"/>
    <x v="0"/>
    <n v="6.246991874522239E-2"/>
    <n v="4413"/>
    <d v="2024-08-01T00:00:00"/>
    <d v="2024-08-31T00:00:00"/>
    <x v="0"/>
  </r>
  <r>
    <s v="P201"/>
    <x v="0"/>
    <d v="2025-01-15T00:00:00"/>
    <x v="0"/>
    <s v="Explore the latest reel on Myntra! Trendy styles await."/>
    <n v="802"/>
    <n v="262"/>
    <n v="244"/>
    <n v="14436"/>
    <n v="14280"/>
    <n v="49"/>
    <x v="0"/>
    <s v="FashionDeals"/>
    <s v="MyntraSale,FashionDeals"/>
    <x v="3"/>
    <n v="9.0606816292601824E-2"/>
    <n v="1308"/>
    <d v="2025-01-10T00:00:00"/>
    <d v="2025-02-10T00:00:00"/>
    <x v="1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x v="3"/>
    <m/>
    <s v="MyntraTrend"/>
    <x v="1"/>
    <n v="8.2108498129342594E-2"/>
    <n v="2458"/>
    <d v="2024-06-10T00:00:00"/>
    <d v="2024-07-05T00:00:00"/>
    <x v="0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x v="3"/>
    <m/>
    <s v="MyntraTrend"/>
    <x v="3"/>
    <n v="5.7332570758993957E-2"/>
    <n v="4110"/>
    <d v="2025-01-10T00:00:00"/>
    <d v="2025-02-10T00:00:00"/>
    <x v="0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x v="4"/>
    <s v="StyleWithMyntra"/>
    <s v="FashionDeals,StyleWithMyntra"/>
    <x v="3"/>
    <n v="0.29713518352730528"/>
    <n v="3319"/>
    <d v="2025-01-10T00:00:00"/>
    <d v="2025-02-10T00:00:00"/>
    <x v="0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x v="2"/>
    <s v="FashionDeals"/>
    <s v="StyleWithMyntra,FashionDeals"/>
    <x v="0"/>
    <n v="0.1043848167539267"/>
    <n v="4785"/>
    <d v="2024-08-01T00:00:00"/>
    <d v="2024-08-31T00:00:00"/>
    <x v="0"/>
  </r>
  <r>
    <s v="P206"/>
    <x v="0"/>
    <d v="2024-06-24T00:00:00"/>
    <x v="1"/>
    <s v="Explore the latest text on Myntra! Trendy styles await."/>
    <n v="941"/>
    <n v="121"/>
    <n v="458"/>
    <n v="14115"/>
    <n v="13838"/>
    <n v="87"/>
    <x v="1"/>
    <s v="MyntraSale"/>
    <s v="MyntraFashion,MyntraSale"/>
    <x v="1"/>
    <n v="0.10768685795253277"/>
    <n v="1520"/>
    <d v="2024-06-10T00:00:00"/>
    <d v="2024-07-05T00:00:00"/>
    <x v="1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x v="2"/>
    <s v="FashionDeals"/>
    <s v="StyleWithMyntra,FashionDeals"/>
    <x v="2"/>
    <n v="0.14316214319138981"/>
    <n v="4895"/>
    <d v="2024-10-05T00:00:00"/>
    <d v="2024-11-05T00:00:00"/>
    <x v="0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x v="3"/>
    <s v="FashionDeals"/>
    <s v="MyntraTrend,FashionDeals"/>
    <x v="0"/>
    <n v="8.6537809426924378E-2"/>
    <n v="3828"/>
    <d v="2024-08-01T00:00:00"/>
    <d v="2024-08-31T00:00:00"/>
    <x v="0"/>
  </r>
  <r>
    <s v="P209"/>
    <x v="0"/>
    <d v="2025-03-19T00:00:00"/>
    <x v="5"/>
    <s v="Explore the latest video on Myntra! Trendy styles await."/>
    <n v="3160"/>
    <n v="204"/>
    <n v="297"/>
    <n v="44240"/>
    <n v="43666"/>
    <n v="49"/>
    <x v="2"/>
    <s v="MyntraTrend"/>
    <s v="StyleWithMyntra,MyntraTrend"/>
    <x v="0"/>
    <n v="8.2753164556962022E-2"/>
    <n v="3661"/>
    <d v="2024-08-01T00:00:00"/>
    <d v="2024-08-31T00:00:00"/>
    <x v="0"/>
  </r>
  <r>
    <s v="P210"/>
    <x v="1"/>
    <d v="2025-02-19T00:00:00"/>
    <x v="4"/>
    <s v="Explore the latest image on Myntra! Trendy styles await."/>
    <n v="257"/>
    <n v="966"/>
    <n v="398"/>
    <n v="3341"/>
    <n v="2753"/>
    <n v="287"/>
    <x v="3"/>
    <s v="MyntraSale"/>
    <s v="MyntraTrend,MyntraSale"/>
    <x v="0"/>
    <n v="0.48518407662376534"/>
    <n v="1621"/>
    <d v="2024-08-01T00:00:00"/>
    <d v="2024-08-31T00:00:00"/>
    <x v="0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x v="3"/>
    <s v="MyntraSale"/>
    <s v="MyntraTrend,MyntraSale"/>
    <x v="0"/>
    <n v="0.18632075471698112"/>
    <n v="2370"/>
    <d v="2024-08-01T00:00:00"/>
    <d v="2024-08-31T00:00:00"/>
    <x v="0"/>
  </r>
  <r>
    <s v="P212"/>
    <x v="1"/>
    <d v="2025-03-03T00:00:00"/>
    <x v="5"/>
    <s v="Explore the latest video on Myntra! Trendy styles await."/>
    <n v="3874"/>
    <n v="884"/>
    <n v="19"/>
    <n v="38740"/>
    <n v="38552"/>
    <n v="219"/>
    <x v="2"/>
    <m/>
    <s v="StyleWithMyntra"/>
    <x v="3"/>
    <n v="0.123309241094476"/>
    <n v="4777"/>
    <d v="2025-01-10T00:00:00"/>
    <d v="2025-02-10T00:00:00"/>
    <x v="0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x v="0"/>
    <m/>
    <s v="MyntraSale"/>
    <x v="2"/>
    <n v="8.21914819340199E-2"/>
    <n v="3767"/>
    <d v="2024-10-05T00:00:00"/>
    <d v="2024-11-05T00:00:00"/>
    <x v="0"/>
  </r>
  <r>
    <s v="P214"/>
    <x v="2"/>
    <d v="2024-12-23T00:00:00"/>
    <x v="4"/>
    <s v="Explore the latest image on Myntra! Trendy styles await."/>
    <n v="521"/>
    <n v="746"/>
    <n v="315"/>
    <n v="4168"/>
    <n v="3399"/>
    <n v="282"/>
    <x v="0"/>
    <m/>
    <s v="MyntraSale"/>
    <x v="0"/>
    <n v="0.37955854126679461"/>
    <n v="1582"/>
    <d v="2024-08-01T00:00:00"/>
    <d v="2024-08-31T00:00:00"/>
    <x v="0"/>
  </r>
  <r>
    <s v="P215"/>
    <x v="3"/>
    <d v="2025-05-06T00:00:00"/>
    <x v="4"/>
    <s v="Explore the latest image on Myntra! Trendy styles await."/>
    <n v="4872"/>
    <n v="925"/>
    <n v="176"/>
    <n v="82824"/>
    <n v="82543"/>
    <n v="89"/>
    <x v="0"/>
    <s v="MyntraTrend"/>
    <s v="MyntraSale,MyntraTrend"/>
    <x v="0"/>
    <n v="7.2116777745580993E-2"/>
    <n v="5973"/>
    <d v="2024-08-01T00:00:00"/>
    <d v="2024-08-31T00:00:00"/>
    <x v="0"/>
  </r>
  <r>
    <s v="P216"/>
    <x v="1"/>
    <d v="2024-07-29T00:00:00"/>
    <x v="2"/>
    <s v="Explore the latest story on Myntra! Trendy styles await."/>
    <n v="1509"/>
    <n v="88"/>
    <n v="163"/>
    <n v="30180"/>
    <n v="29689"/>
    <n v="119"/>
    <x v="3"/>
    <m/>
    <s v="MyntraTrend"/>
    <x v="0"/>
    <n v="5.8316766070245198E-2"/>
    <n v="1760"/>
    <d v="2024-08-01T00:00:00"/>
    <d v="2024-08-31T00:00:00"/>
    <x v="0"/>
  </r>
  <r>
    <s v="P217"/>
    <x v="3"/>
    <d v="2024-12-03T00:00:00"/>
    <x v="4"/>
    <s v="Explore the latest image on Myntra! Trendy styles await."/>
    <n v="4606"/>
    <n v="931"/>
    <n v="230"/>
    <n v="92120"/>
    <n v="91440"/>
    <n v="56"/>
    <x v="4"/>
    <s v="MyntraFashion"/>
    <s v="FashionDeals,MyntraFashion"/>
    <x v="2"/>
    <n v="6.2603126356925748E-2"/>
    <n v="5767"/>
    <d v="2024-10-05T00:00:00"/>
    <d v="2024-11-05T00:00:00"/>
    <x v="0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x v="4"/>
    <s v="StyleWithMyntra"/>
    <s v="FashionDeals,StyleWithMyntra"/>
    <x v="0"/>
    <n v="0.18806848582129482"/>
    <n v="2812"/>
    <d v="2024-08-01T00:00:00"/>
    <d v="2024-08-31T00:00:00"/>
    <x v="0"/>
  </r>
  <r>
    <s v="P219"/>
    <x v="0"/>
    <d v="2025-01-28T00:00:00"/>
    <x v="0"/>
    <s v="Explore the latest reel on Myntra! Trendy styles await."/>
    <n v="1188"/>
    <n v="470"/>
    <n v="174"/>
    <n v="7128"/>
    <n v="6145"/>
    <n v="270"/>
    <x v="2"/>
    <s v="MyntraFashion"/>
    <s v="StyleWithMyntra,MyntraFashion"/>
    <x v="1"/>
    <n v="0.25701459034792368"/>
    <n v="1832"/>
    <d v="2024-06-10T00:00:00"/>
    <d v="2024-07-05T00:00:00"/>
    <x v="0"/>
  </r>
  <r>
    <s v="P220"/>
    <x v="2"/>
    <d v="2024-06-02T00:00:00"/>
    <x v="2"/>
    <s v="Explore the latest story on Myntra! Trendy styles await."/>
    <n v="84"/>
    <n v="897"/>
    <n v="85"/>
    <n v="588"/>
    <n v="8"/>
    <n v="12"/>
    <x v="2"/>
    <m/>
    <s v="StyleWithMyntra"/>
    <x v="1"/>
    <n v="1.8129251700680271"/>
    <n v="1066"/>
    <d v="2024-06-10T00:00:00"/>
    <d v="2024-07-05T00:00:00"/>
    <x v="0"/>
  </r>
  <r>
    <s v="P221"/>
    <x v="3"/>
    <d v="2025-03-23T00:00:00"/>
    <x v="5"/>
    <s v="Explore the latest video on Myntra! Trendy styles await."/>
    <n v="4453"/>
    <n v="111"/>
    <n v="420"/>
    <n v="31171"/>
    <n v="30565"/>
    <n v="23"/>
    <x v="3"/>
    <s v="MyntraFashion"/>
    <s v="MyntraTrend,MyntraFashion"/>
    <x v="3"/>
    <n v="0.15989220750056141"/>
    <n v="4984"/>
    <d v="2025-01-10T00:00:00"/>
    <d v="2025-02-10T00:00:00"/>
    <x v="0"/>
  </r>
  <r>
    <s v="P222"/>
    <x v="3"/>
    <d v="2024-10-08T00:00:00"/>
    <x v="0"/>
    <s v="Explore the latest reel on Myntra! Trendy styles await."/>
    <n v="1814"/>
    <n v="653"/>
    <n v="363"/>
    <n v="25396"/>
    <n v="25286"/>
    <n v="39"/>
    <x v="2"/>
    <m/>
    <s v="StyleWithMyntra"/>
    <x v="0"/>
    <n v="0.11143487163332809"/>
    <n v="2830"/>
    <d v="2024-08-01T00:00:00"/>
    <d v="2024-08-31T00:00:00"/>
    <x v="0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x v="2"/>
    <m/>
    <s v="StyleWithMyntra"/>
    <x v="0"/>
    <n v="6.2129685107516146E-2"/>
    <n v="3733"/>
    <d v="2024-08-01T00:00:00"/>
    <d v="2024-08-31T00:00:00"/>
    <x v="0"/>
  </r>
  <r>
    <s v="P224"/>
    <x v="3"/>
    <d v="2025-05-13T00:00:00"/>
    <x v="4"/>
    <s v="Explore the latest image on Myntra! Trendy styles await."/>
    <n v="602"/>
    <n v="594"/>
    <n v="156"/>
    <n v="4214"/>
    <n v="3363"/>
    <n v="164"/>
    <x v="0"/>
    <m/>
    <s v="MyntraSale"/>
    <x v="2"/>
    <n v="0.32083531086853345"/>
    <n v="1352"/>
    <d v="2024-10-05T00:00:00"/>
    <d v="2024-11-05T00:00:00"/>
    <x v="0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x v="4"/>
    <s v="MyntraSale"/>
    <s v="FashionDeals,MyntraSale"/>
    <x v="2"/>
    <n v="5.6653298485940883E-2"/>
    <n v="5029"/>
    <d v="2024-10-05T00:00:00"/>
    <d v="2024-11-05T00:00:00"/>
    <x v="0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x v="0"/>
    <m/>
    <s v="MyntraSale"/>
    <x v="1"/>
    <n v="0.25537047673750718"/>
    <n v="2223"/>
    <d v="2024-06-10T00:00:00"/>
    <d v="2024-07-05T00:00:00"/>
    <x v="0"/>
  </r>
  <r>
    <s v="P227"/>
    <x v="2"/>
    <d v="2024-06-12T00:00:00"/>
    <x v="1"/>
    <s v="Explore the latest text on Myntra! Trendy styles await."/>
    <n v="246"/>
    <n v="149"/>
    <n v="130"/>
    <n v="4674"/>
    <n v="4390"/>
    <n v="217"/>
    <x v="3"/>
    <s v="FashionDeals"/>
    <s v="MyntraTrend,FashionDeals"/>
    <x v="1"/>
    <n v="0.11232349165596919"/>
    <n v="525"/>
    <d v="2024-06-10T00:00:00"/>
    <d v="2024-07-05T00:00:00"/>
    <x v="1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x v="3"/>
    <s v="MyntraSale"/>
    <s v="MyntraTrend,MyntraSale"/>
    <x v="3"/>
    <n v="8.1808097615085965E-2"/>
    <n v="5900"/>
    <d v="2025-01-10T00:00:00"/>
    <d v="2025-02-10T00:00:00"/>
    <x v="0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x v="3"/>
    <m/>
    <s v="MyntraTrend"/>
    <x v="1"/>
    <n v="0.13387048227640017"/>
    <n v="5782"/>
    <d v="2024-06-10T00:00:00"/>
    <d v="2024-07-05T00:00:00"/>
    <x v="1"/>
  </r>
  <r>
    <s v="P230"/>
    <x v="3"/>
    <d v="2024-07-15T00:00:00"/>
    <x v="0"/>
    <s v="Explore the latest reel on Myntra! Trendy styles await."/>
    <n v="3663"/>
    <n v="17"/>
    <n v="295"/>
    <n v="51282"/>
    <n v="50567"/>
    <n v="84"/>
    <x v="0"/>
    <m/>
    <s v="MyntraSale"/>
    <x v="0"/>
    <n v="7.7512577512577507E-2"/>
    <n v="3975"/>
    <d v="2024-08-01T00:00:00"/>
    <d v="2024-08-31T00:00:00"/>
    <x v="0"/>
  </r>
  <r>
    <s v="P231"/>
    <x v="2"/>
    <d v="2025-05-01T00:00:00"/>
    <x v="1"/>
    <s v="Explore the latest text on Myntra! Trendy styles await."/>
    <n v="1430"/>
    <n v="376"/>
    <n v="33"/>
    <n v="21450"/>
    <n v="20509"/>
    <n v="251"/>
    <x v="4"/>
    <m/>
    <s v="FashionDeals"/>
    <x v="2"/>
    <n v="8.5734265734265735E-2"/>
    <n v="1839"/>
    <d v="2024-10-05T00:00:00"/>
    <d v="2024-11-05T00:00:00"/>
    <x v="0"/>
  </r>
  <r>
    <s v="P232"/>
    <x v="0"/>
    <d v="2025-04-29T00:00:00"/>
    <x v="2"/>
    <s v="Explore the latest story on Myntra! Trendy styles await."/>
    <n v="249"/>
    <n v="592"/>
    <n v="230"/>
    <n v="1494"/>
    <n v="1044"/>
    <n v="201"/>
    <x v="1"/>
    <s v="MyntraTrend"/>
    <s v="MyntraFashion,MyntraTrend"/>
    <x v="3"/>
    <n v="0.7168674698795181"/>
    <n v="1071"/>
    <d v="2025-01-10T00:00:00"/>
    <d v="2025-02-10T00:00:00"/>
    <x v="0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x v="4"/>
    <s v="MyntraTrend"/>
    <s v="FashionDeals,MyntraTrend"/>
    <x v="1"/>
    <n v="7.2969143576826198E-2"/>
    <n v="2781"/>
    <d v="2024-06-10T00:00:00"/>
    <d v="2024-07-05T00:00:00"/>
    <x v="0"/>
  </r>
  <r>
    <s v="P234"/>
    <x v="3"/>
    <d v="2024-06-01T00:00:00"/>
    <x v="1"/>
    <s v="Explore the latest text on Myntra! Trendy styles await."/>
    <n v="1272"/>
    <n v="465"/>
    <n v="99"/>
    <n v="24168"/>
    <n v="23719"/>
    <n v="42"/>
    <x v="1"/>
    <s v="FashionDeals"/>
    <s v="MyntraFashion,FashionDeals"/>
    <x v="1"/>
    <n v="7.5968222442899705E-2"/>
    <n v="1836"/>
    <d v="2024-06-10T00:00:00"/>
    <d v="2024-07-05T00:00:00"/>
    <x v="0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x v="2"/>
    <s v="MyntraTrend"/>
    <s v="StyleWithMyntra,MyntraTrend"/>
    <x v="3"/>
    <n v="0.1283706906360223"/>
    <n v="4513"/>
    <d v="2025-01-10T00:00:00"/>
    <d v="2025-02-10T00:00:00"/>
    <x v="0"/>
  </r>
  <r>
    <s v="P236"/>
    <x v="3"/>
    <d v="2024-08-19T00:00:00"/>
    <x v="1"/>
    <s v="Explore the latest text on Myntra! Trendy styles await."/>
    <n v="1257"/>
    <n v="19"/>
    <n v="351"/>
    <n v="12570"/>
    <n v="11660"/>
    <n v="194"/>
    <x v="2"/>
    <m/>
    <s v="StyleWithMyntra"/>
    <x v="0"/>
    <n v="0.12943516308671441"/>
    <n v="1627"/>
    <d v="2024-08-01T00:00:00"/>
    <d v="2024-08-31T00:00:00"/>
    <x v="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x v="0"/>
    <s v="MyntraTrend"/>
    <s v="MyntraSale,MyntraTrend"/>
    <x v="3"/>
    <n v="6.7234398994834563E-2"/>
    <n v="4816"/>
    <d v="2025-01-10T00:00:00"/>
    <d v="2025-02-10T00:00:00"/>
    <x v="0"/>
  </r>
  <r>
    <s v="P238"/>
    <x v="0"/>
    <d v="2024-07-16T00:00:00"/>
    <x v="1"/>
    <s v="Explore the latest text on Myntra! Trendy styles await."/>
    <n v="4725"/>
    <n v="400"/>
    <n v="362"/>
    <n v="75600"/>
    <n v="74927"/>
    <n v="43"/>
    <x v="3"/>
    <s v="MyntraFashion"/>
    <s v="MyntraTrend,MyntraFashion"/>
    <x v="0"/>
    <n v="7.2579365079365077E-2"/>
    <n v="5487"/>
    <d v="2024-08-01T00:00:00"/>
    <d v="2024-08-31T00:00:00"/>
    <x v="0"/>
  </r>
  <r>
    <s v="P239"/>
    <x v="1"/>
    <d v="2025-02-24T00:00:00"/>
    <x v="1"/>
    <s v="Explore the latest text on Myntra! Trendy styles await."/>
    <n v="4188"/>
    <n v="942"/>
    <n v="118"/>
    <n v="20940"/>
    <n v="20471"/>
    <n v="102"/>
    <x v="2"/>
    <m/>
    <s v="StyleWithMyntra"/>
    <x v="1"/>
    <n v="0.25062082139446035"/>
    <n v="5248"/>
    <d v="2024-06-10T00:00:00"/>
    <d v="2024-07-05T00:00:00"/>
    <x v="0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x v="1"/>
    <m/>
    <s v="MyntraFashion"/>
    <x v="2"/>
    <n v="8.6293505561535699E-2"/>
    <n v="1443"/>
    <d v="2024-10-05T00:00:00"/>
    <d v="2024-11-05T00:00:00"/>
    <x v="0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x v="0"/>
    <s v="MyntraFashion"/>
    <s v="MyntraSale,MyntraFashion"/>
    <x v="2"/>
    <n v="0.17743908486792079"/>
    <n v="5367"/>
    <d v="2024-10-05T00:00:00"/>
    <d v="2024-11-05T00:00:00"/>
    <x v="0"/>
  </r>
  <r>
    <s v="P242"/>
    <x v="3"/>
    <d v="2024-07-07T00:00:00"/>
    <x v="0"/>
    <s v="Explore the latest reel on Myntra! Trendy styles await."/>
    <n v="4767"/>
    <n v="190"/>
    <n v="340"/>
    <n v="28602"/>
    <n v="28044"/>
    <n v="210"/>
    <x v="4"/>
    <m/>
    <s v="FashionDeals"/>
    <x v="3"/>
    <n v="0.18519683938186141"/>
    <n v="5297"/>
    <d v="2025-01-10T00:00:00"/>
    <d v="2025-02-10T00:00:00"/>
    <x v="0"/>
  </r>
  <r>
    <s v="P243"/>
    <x v="0"/>
    <d v="2025-03-06T00:00:00"/>
    <x v="4"/>
    <s v="Explore the latest image on Myntra! Trendy styles await."/>
    <n v="3592"/>
    <n v="911"/>
    <n v="375"/>
    <n v="50288"/>
    <n v="49490"/>
    <n v="32"/>
    <x v="2"/>
    <m/>
    <s v="StyleWithMyntra"/>
    <x v="1"/>
    <n v="9.7001272669424113E-2"/>
    <n v="4878"/>
    <d v="2024-06-10T00:00:00"/>
    <d v="2024-07-05T00:00:00"/>
    <x v="0"/>
  </r>
  <r>
    <s v="P244"/>
    <x v="1"/>
    <d v="2024-10-25T00:00:00"/>
    <x v="5"/>
    <s v="Explore the latest video on Myntra! Trendy styles await."/>
    <n v="4661"/>
    <n v="935"/>
    <n v="433"/>
    <n v="23305"/>
    <n v="22583"/>
    <n v="63"/>
    <x v="2"/>
    <s v="FashionDeals"/>
    <s v="StyleWithMyntra,FashionDeals"/>
    <x v="0"/>
    <n v="0.25869984981763572"/>
    <n v="6029"/>
    <d v="2024-08-01T00:00:00"/>
    <d v="2024-08-31T00:00:00"/>
    <x v="0"/>
  </r>
  <r>
    <s v="P245"/>
    <x v="3"/>
    <d v="2025-01-12T00:00:00"/>
    <x v="0"/>
    <s v="Explore the latest reel on Myntra! Trendy styles await."/>
    <n v="4134"/>
    <n v="824"/>
    <n v="99"/>
    <n v="41340"/>
    <n v="41050"/>
    <n v="177"/>
    <x v="1"/>
    <m/>
    <s v="MyntraFashion"/>
    <x v="1"/>
    <n v="0.12232704402515723"/>
    <n v="5057"/>
    <d v="2024-06-10T00:00:00"/>
    <d v="2024-07-05T00:00:00"/>
    <x v="0"/>
  </r>
  <r>
    <s v="P246"/>
    <x v="3"/>
    <d v="2024-10-11T00:00:00"/>
    <x v="4"/>
    <s v="Explore the latest image on Myntra! Trendy styles await."/>
    <n v="400"/>
    <n v="680"/>
    <n v="434"/>
    <n v="6400"/>
    <n v="5472"/>
    <n v="160"/>
    <x v="0"/>
    <s v="MyntraTrend"/>
    <s v="MyntraSale,MyntraTrend"/>
    <x v="1"/>
    <n v="0.23656250000000001"/>
    <n v="1514"/>
    <d v="2024-06-10T00:00:00"/>
    <d v="2024-07-05T00:00:00"/>
    <x v="0"/>
  </r>
  <r>
    <s v="P247"/>
    <x v="3"/>
    <d v="2024-08-27T00:00:00"/>
    <x v="0"/>
    <s v="Explore the latest reel on Myntra! Trendy styles await."/>
    <n v="3960"/>
    <n v="266"/>
    <n v="8"/>
    <n v="35640"/>
    <n v="34850"/>
    <n v="208"/>
    <x v="3"/>
    <s v="MyntraFashion"/>
    <s v="MyntraTrend,MyntraFashion"/>
    <x v="3"/>
    <n v="0.11879910213243547"/>
    <n v="4234"/>
    <d v="2025-01-10T00:00:00"/>
    <d v="2025-02-10T00:00:00"/>
    <x v="0"/>
  </r>
  <r>
    <s v="P248"/>
    <x v="3"/>
    <d v="2025-02-02T00:00:00"/>
    <x v="2"/>
    <s v="Explore the latest story on Myntra! Trendy styles await."/>
    <n v="886"/>
    <n v="126"/>
    <n v="153"/>
    <n v="4430"/>
    <n v="4037"/>
    <n v="212"/>
    <x v="0"/>
    <m/>
    <s v="MyntraSale"/>
    <x v="2"/>
    <n v="0.26297968397291194"/>
    <n v="1165"/>
    <d v="2024-10-05T00:00:00"/>
    <d v="2024-11-05T00:00:00"/>
    <x v="0"/>
  </r>
  <r>
    <s v="P249"/>
    <x v="0"/>
    <d v="2024-07-18T00:00:00"/>
    <x v="4"/>
    <s v="Explore the latest image on Myntra! Trendy styles await."/>
    <n v="827"/>
    <n v="77"/>
    <n v="402"/>
    <n v="14886"/>
    <n v="14129"/>
    <n v="254"/>
    <x v="2"/>
    <m/>
    <s v="StyleWithMyntra"/>
    <x v="1"/>
    <n v="8.7733440816874911E-2"/>
    <n v="1306"/>
    <d v="2024-06-10T00:00:00"/>
    <d v="2024-07-05T00:00:00"/>
    <x v="0"/>
  </r>
  <r>
    <s v="P250"/>
    <x v="3"/>
    <d v="2024-06-22T00:00:00"/>
    <x v="0"/>
    <s v="Explore the latest reel on Myntra! Trendy styles await."/>
    <n v="3813"/>
    <n v="935"/>
    <n v="274"/>
    <n v="68634"/>
    <n v="68488"/>
    <n v="251"/>
    <x v="4"/>
    <s v="MyntraTrend"/>
    <s v="FashionDeals,MyntraTrend"/>
    <x v="0"/>
    <n v="7.3170731707317069E-2"/>
    <n v="5022"/>
    <d v="2024-08-01T00:00:00"/>
    <d v="2024-08-31T00:00:00"/>
    <x v="0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x v="4"/>
    <s v="MyntraFashion"/>
    <s v="FashionDeals,MyntraFashion"/>
    <x v="2"/>
    <n v="0.11619462599854757"/>
    <n v="2560"/>
    <d v="2024-10-05T00:00:00"/>
    <d v="2024-11-05T00:00:00"/>
    <x v="0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x v="2"/>
    <s v="MyntraSale"/>
    <s v="StyleWithMyntra,MyntraSale"/>
    <x v="0"/>
    <n v="0.15761129727142173"/>
    <n v="2634"/>
    <d v="2024-08-01T00:00:00"/>
    <d v="2024-08-31T00:00:00"/>
    <x v="0"/>
  </r>
  <r>
    <s v="P253"/>
    <x v="0"/>
    <d v="2024-08-03T00:00:00"/>
    <x v="0"/>
    <s v="Explore the latest reel on Myntra! Trendy styles await."/>
    <n v="3791"/>
    <n v="593"/>
    <n v="228"/>
    <n v="53074"/>
    <n v="52613"/>
    <n v="205"/>
    <x v="2"/>
    <s v="FashionDeals"/>
    <s v="StyleWithMyntra,FashionDeals"/>
    <x v="0"/>
    <n v="8.6897539284772202E-2"/>
    <n v="4612"/>
    <d v="2024-08-01T00:00:00"/>
    <d v="2024-08-31T00:00:00"/>
    <x v="1"/>
  </r>
  <r>
    <s v="P254"/>
    <x v="0"/>
    <d v="2025-01-14T00:00:00"/>
    <x v="4"/>
    <s v="Explore the latest image on Myntra! Trendy styles await."/>
    <n v="2692"/>
    <n v="115"/>
    <n v="64"/>
    <n v="21536"/>
    <n v="21120"/>
    <n v="224"/>
    <x v="4"/>
    <s v="MyntraTrend"/>
    <s v="FashionDeals,MyntraTrend"/>
    <x v="3"/>
    <n v="0.13331166419019316"/>
    <n v="2871"/>
    <d v="2025-01-10T00:00:00"/>
    <d v="2025-02-10T00:00:00"/>
    <x v="1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x v="2"/>
    <s v="FashionDeals"/>
    <s v="StyleWithMyntra,FashionDeals"/>
    <x v="0"/>
    <n v="0.11996283514733209"/>
    <n v="4519"/>
    <d v="2024-08-01T00:00:00"/>
    <d v="2024-08-31T00:00:00"/>
    <x v="0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x v="4"/>
    <s v="MyntraSale"/>
    <s v="FashionDeals,MyntraSale"/>
    <x v="3"/>
    <n v="5.7936488444630008E-2"/>
    <n v="2359"/>
    <d v="2025-01-10T00:00:00"/>
    <d v="2025-02-10T00:00:00"/>
    <x v="0"/>
  </r>
  <r>
    <s v="P257"/>
    <x v="3"/>
    <d v="2025-04-06T00:00:00"/>
    <x v="4"/>
    <s v="Explore the latest image on Myntra! Trendy styles await."/>
    <n v="3090"/>
    <n v="697"/>
    <n v="164"/>
    <n v="49440"/>
    <n v="48524"/>
    <n v="25"/>
    <x v="4"/>
    <s v="StyleWithMyntra"/>
    <s v="FashionDeals,StyleWithMyntra"/>
    <x v="3"/>
    <n v="7.9915048543689318E-2"/>
    <n v="3951"/>
    <d v="2025-01-10T00:00:00"/>
    <d v="2025-02-10T00:00:00"/>
    <x v="0"/>
  </r>
  <r>
    <s v="P258"/>
    <x v="2"/>
    <d v="2024-08-05T00:00:00"/>
    <x v="2"/>
    <s v="Explore the latest story on Myntra! Trendy styles await."/>
    <n v="3601"/>
    <n v="695"/>
    <n v="75"/>
    <n v="21606"/>
    <n v="21454"/>
    <n v="172"/>
    <x v="2"/>
    <m/>
    <s v="StyleWithMyntra"/>
    <x v="1"/>
    <n v="0.2023049153013052"/>
    <n v="4371"/>
    <d v="2024-06-10T00:00:00"/>
    <d v="2024-07-05T00:00:00"/>
    <x v="0"/>
  </r>
  <r>
    <s v="P259"/>
    <x v="3"/>
    <d v="2025-02-10T00:00:00"/>
    <x v="1"/>
    <s v="Explore the latest text on Myntra! Trendy styles await."/>
    <n v="562"/>
    <n v="158"/>
    <n v="149"/>
    <n v="3372"/>
    <n v="2940"/>
    <n v="93"/>
    <x v="4"/>
    <s v="MyntraSale"/>
    <s v="FashionDeals,MyntraSale"/>
    <x v="3"/>
    <n v="0.25771055753262156"/>
    <n v="869"/>
    <d v="2025-01-10T00:00:00"/>
    <d v="2025-02-10T00:00:00"/>
    <x v="1"/>
  </r>
  <r>
    <s v="P260"/>
    <x v="2"/>
    <d v="2025-02-12T00:00:00"/>
    <x v="2"/>
    <s v="Explore the latest story on Myntra! Trendy styles await."/>
    <n v="4332"/>
    <n v="771"/>
    <n v="219"/>
    <n v="60648"/>
    <n v="60397"/>
    <n v="10"/>
    <x v="1"/>
    <m/>
    <s v="MyntraFashion"/>
    <x v="2"/>
    <n v="8.7752275425405618E-2"/>
    <n v="5322"/>
    <d v="2024-10-05T00:00:00"/>
    <d v="2024-11-05T00:00:00"/>
    <x v="0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x v="0"/>
    <m/>
    <s v="MyntraSale"/>
    <x v="1"/>
    <n v="8.2835359571399134E-2"/>
    <n v="6030"/>
    <d v="2024-06-10T00:00:00"/>
    <d v="2024-07-05T00:00:00"/>
    <x v="0"/>
  </r>
  <r>
    <s v="P262"/>
    <x v="1"/>
    <d v="2025-01-18T00:00:00"/>
    <x v="4"/>
    <s v="Explore the latest image on Myntra! Trendy styles await."/>
    <n v="1206"/>
    <n v="238"/>
    <n v="36"/>
    <n v="9648"/>
    <n v="9417"/>
    <n v="237"/>
    <x v="0"/>
    <s v="StyleWithMyntra"/>
    <s v="MyntraSale,StyleWithMyntra"/>
    <x v="2"/>
    <n v="0.15339966832504145"/>
    <n v="1480"/>
    <d v="2024-10-05T00:00:00"/>
    <d v="2024-11-05T00:00:00"/>
    <x v="0"/>
  </r>
  <r>
    <s v="P263"/>
    <x v="2"/>
    <d v="2024-08-20T00:00:00"/>
    <x v="0"/>
    <s v="Explore the latest reel on Myntra! Trendy styles await."/>
    <n v="2603"/>
    <n v="690"/>
    <n v="205"/>
    <n v="13015"/>
    <n v="12130"/>
    <n v="20"/>
    <x v="3"/>
    <m/>
    <s v="MyntraTrend"/>
    <x v="0"/>
    <n v="0.26876680752977333"/>
    <n v="3498"/>
    <d v="2024-08-01T00:00:00"/>
    <d v="2024-08-31T00:00:00"/>
    <x v="1"/>
  </r>
  <r>
    <s v="P264"/>
    <x v="0"/>
    <d v="2025-01-30T00:00:00"/>
    <x v="4"/>
    <s v="Explore the latest image on Myntra! Trendy styles await."/>
    <n v="59"/>
    <n v="163"/>
    <n v="93"/>
    <n v="590"/>
    <n v="475"/>
    <n v="293"/>
    <x v="3"/>
    <m/>
    <s v="MyntraTrend"/>
    <x v="3"/>
    <n v="0.53389830508474578"/>
    <n v="315"/>
    <d v="2025-01-10T00:00:00"/>
    <d v="2025-02-10T00:00:00"/>
    <x v="1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x v="2"/>
    <s v="MyntraSale"/>
    <s v="StyleWithMyntra,MyntraSale"/>
    <x v="0"/>
    <n v="0.25279701651571657"/>
    <n v="2847"/>
    <d v="2024-08-01T00:00:00"/>
    <d v="2024-08-31T00:00:00"/>
    <x v="0"/>
  </r>
  <r>
    <s v="P266"/>
    <x v="3"/>
    <d v="2024-11-25T00:00:00"/>
    <x v="2"/>
    <s v="Explore the latest story on Myntra! Trendy styles await."/>
    <n v="4182"/>
    <n v="640"/>
    <n v="240"/>
    <n v="50184"/>
    <n v="49351"/>
    <n v="10"/>
    <x v="0"/>
    <s v="StyleWithMyntra"/>
    <s v="MyntraSale,StyleWithMyntra"/>
    <x v="2"/>
    <n v="0.10086880280567512"/>
    <n v="5062"/>
    <d v="2024-10-05T00:00:00"/>
    <d v="2024-11-05T00:00:00"/>
    <x v="0"/>
  </r>
  <r>
    <s v="P267"/>
    <x v="0"/>
    <d v="2024-10-04T00:00:00"/>
    <x v="0"/>
    <s v="Explore the latest reel on Myntra! Trendy styles await."/>
    <n v="4187"/>
    <n v="66"/>
    <n v="31"/>
    <n v="66992"/>
    <n v="66614"/>
    <n v="62"/>
    <x v="2"/>
    <m/>
    <s v="StyleWithMyntra"/>
    <x v="3"/>
    <n v="6.3947934081681396E-2"/>
    <n v="4284"/>
    <d v="2025-01-10T00:00:00"/>
    <d v="2025-02-10T00:00:00"/>
    <x v="0"/>
  </r>
  <r>
    <s v="P268"/>
    <x v="2"/>
    <d v="2025-04-13T00:00:00"/>
    <x v="0"/>
    <s v="Explore the latest reel on Myntra! Trendy styles await."/>
    <n v="4579"/>
    <n v="125"/>
    <n v="300"/>
    <n v="59527"/>
    <n v="59400"/>
    <n v="269"/>
    <x v="2"/>
    <s v="MyntraFashion"/>
    <s v="StyleWithMyntra,MyntraFashion"/>
    <x v="0"/>
    <n v="8.4062694239588759E-2"/>
    <n v="5004"/>
    <d v="2024-08-01T00:00:00"/>
    <d v="2024-08-31T00:00:00"/>
    <x v="0"/>
  </r>
  <r>
    <s v="P269"/>
    <x v="2"/>
    <d v="2024-11-05T00:00:00"/>
    <x v="5"/>
    <s v="Explore the latest video on Myntra! Trendy styles await."/>
    <n v="4561"/>
    <n v="51"/>
    <n v="441"/>
    <n v="22805"/>
    <n v="21890"/>
    <n v="45"/>
    <x v="2"/>
    <m/>
    <s v="StyleWithMyntra"/>
    <x v="1"/>
    <n v="0.22157421618066214"/>
    <n v="5053"/>
    <d v="2024-06-10T00:00:00"/>
    <d v="2024-07-05T00:00:00"/>
    <x v="0"/>
  </r>
  <r>
    <s v="P270"/>
    <x v="1"/>
    <d v="2025-01-15T00:00:00"/>
    <x v="0"/>
    <s v="Explore the latest reel on Myntra! Trendy styles await."/>
    <n v="3774"/>
    <n v="239"/>
    <n v="39"/>
    <n v="60384"/>
    <n v="59490"/>
    <n v="241"/>
    <x v="4"/>
    <m/>
    <s v="FashionDeals"/>
    <x v="2"/>
    <n v="6.7103868574456813E-2"/>
    <n v="4052"/>
    <d v="2024-10-05T00:00:00"/>
    <d v="2024-11-05T00:00:00"/>
    <x v="0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x v="4"/>
    <m/>
    <s v="FashionDeals"/>
    <x v="2"/>
    <n v="0.20675990675990677"/>
    <n v="4435"/>
    <d v="2024-10-05T00:00:00"/>
    <d v="2024-11-05T00:00:00"/>
    <x v="1"/>
  </r>
  <r>
    <s v="P272"/>
    <x v="2"/>
    <d v="2025-03-27T00:00:00"/>
    <x v="1"/>
    <s v="Explore the latest text on Myntra! Trendy styles await."/>
    <n v="4941"/>
    <n v="414"/>
    <n v="266"/>
    <n v="39528"/>
    <n v="39154"/>
    <n v="217"/>
    <x v="0"/>
    <m/>
    <s v="MyntraSale"/>
    <x v="1"/>
    <n v="0.14220299534507186"/>
    <n v="5621"/>
    <d v="2024-06-10T00:00:00"/>
    <d v="2024-07-05T00:00:00"/>
    <x v="0"/>
  </r>
  <r>
    <s v="P273"/>
    <x v="1"/>
    <d v="2024-10-12T00:00:00"/>
    <x v="2"/>
    <s v="Explore the latest story on Myntra! Trendy styles await."/>
    <n v="3641"/>
    <n v="226"/>
    <n v="46"/>
    <n v="40051"/>
    <n v="39319"/>
    <n v="296"/>
    <x v="3"/>
    <m/>
    <s v="MyntraTrend"/>
    <x v="1"/>
    <n v="9.7700431949264685E-2"/>
    <n v="3913"/>
    <d v="2024-06-10T00:00:00"/>
    <d v="2024-07-05T00:00:00"/>
    <x v="0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x v="3"/>
    <s v="StyleWithMyntra"/>
    <s v="MyntraTrend,StyleWithMyntra"/>
    <x v="1"/>
    <n v="7.8849599245638849E-2"/>
    <n v="4181"/>
    <d v="2024-06-10T00:00:00"/>
    <d v="2024-07-05T00:00:00"/>
    <x v="0"/>
  </r>
  <r>
    <s v="P275"/>
    <x v="3"/>
    <d v="2024-08-05T00:00:00"/>
    <x v="0"/>
    <s v="Explore the latest reel on Myntra! Trendy styles await."/>
    <n v="1741"/>
    <n v="831"/>
    <n v="345"/>
    <n v="17410"/>
    <n v="16844"/>
    <n v="58"/>
    <x v="1"/>
    <s v="FashionDeals"/>
    <s v="MyntraFashion,FashionDeals"/>
    <x v="3"/>
    <n v="0.16754738655944859"/>
    <n v="2917"/>
    <d v="2025-01-10T00:00:00"/>
    <d v="2025-02-10T00:00:00"/>
    <x v="0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x v="1"/>
    <m/>
    <s v="MyntraFashion"/>
    <x v="1"/>
    <n v="0.2015852613538989"/>
    <n v="1882"/>
    <d v="2024-06-10T00:00:00"/>
    <d v="2024-07-05T00:00:00"/>
    <x v="0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x v="3"/>
    <s v="MyntraSale"/>
    <s v="MyntraTrend,MyntraSale"/>
    <x v="3"/>
    <n v="0.24763928234183191"/>
    <n v="5245"/>
    <d v="2025-01-10T00:00:00"/>
    <d v="2025-02-10T00:00:00"/>
    <x v="0"/>
  </r>
  <r>
    <s v="P278"/>
    <x v="0"/>
    <d v="2024-11-26T00:00:00"/>
    <x v="1"/>
    <s v="Explore the latest text on Myntra! Trendy styles await."/>
    <n v="4516"/>
    <n v="836"/>
    <n v="169"/>
    <n v="49676"/>
    <n v="49257"/>
    <n v="282"/>
    <x v="3"/>
    <m/>
    <s v="MyntraTrend"/>
    <x v="0"/>
    <n v="0.11114018842096787"/>
    <n v="5521"/>
    <d v="2024-08-01T00:00:00"/>
    <d v="2024-08-31T00:00:00"/>
    <x v="0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x v="3"/>
    <m/>
    <s v="MyntraTrend"/>
    <x v="3"/>
    <n v="5.9928644240570844E-2"/>
    <n v="5879"/>
    <d v="2025-01-10T00:00:00"/>
    <d v="2025-02-10T00:00:00"/>
    <x v="0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x v="2"/>
    <m/>
    <s v="StyleWithMyntra"/>
    <x v="3"/>
    <n v="8.3274853801169585E-2"/>
    <n v="5340"/>
    <d v="2025-01-10T00:00:00"/>
    <d v="2025-02-10T00:00:00"/>
    <x v="0"/>
  </r>
  <r>
    <s v="P281"/>
    <x v="1"/>
    <d v="2025-03-22T00:00:00"/>
    <x v="4"/>
    <s v="Explore the latest image on Myntra! Trendy styles await."/>
    <n v="3166"/>
    <n v="90"/>
    <n v="341"/>
    <n v="56988"/>
    <n v="56125"/>
    <n v="135"/>
    <x v="1"/>
    <s v="StyleWithMyntra"/>
    <s v="MyntraFashion,StyleWithMyntra"/>
    <x v="1"/>
    <n v="6.3118551273952411E-2"/>
    <n v="3597"/>
    <d v="2024-06-10T00:00:00"/>
    <d v="2024-07-05T00:00:00"/>
    <x v="0"/>
  </r>
  <r>
    <s v="P282"/>
    <x v="2"/>
    <d v="2024-10-03T00:00:00"/>
    <x v="5"/>
    <s v="Explore the latest video on Myntra! Trendy styles await."/>
    <n v="1488"/>
    <n v="417"/>
    <n v="168"/>
    <n v="19344"/>
    <n v="18395"/>
    <n v="30"/>
    <x v="0"/>
    <m/>
    <s v="MyntraSale"/>
    <x v="0"/>
    <n v="0.1071650124069479"/>
    <n v="2073"/>
    <d v="2024-08-01T00:00:00"/>
    <d v="2024-08-31T00:00:00"/>
    <x v="0"/>
  </r>
  <r>
    <s v="P283"/>
    <x v="0"/>
    <d v="2025-05-09T00:00:00"/>
    <x v="0"/>
    <s v="Explore the latest reel on Myntra! Trendy styles await."/>
    <n v="3367"/>
    <n v="302"/>
    <n v="57"/>
    <n v="63973"/>
    <n v="63789"/>
    <n v="157"/>
    <x v="3"/>
    <s v="MyntraFashion"/>
    <s v="MyntraTrend,MyntraFashion"/>
    <x v="2"/>
    <n v="5.8243321401216137E-2"/>
    <n v="3726"/>
    <d v="2024-10-05T00:00:00"/>
    <d v="2024-11-05T00:00:00"/>
    <x v="0"/>
  </r>
  <r>
    <s v="P284"/>
    <x v="0"/>
    <d v="2024-09-17T00:00:00"/>
    <x v="1"/>
    <s v="Explore the latest text on Myntra! Trendy styles await."/>
    <n v="571"/>
    <n v="190"/>
    <n v="352"/>
    <n v="9707"/>
    <n v="9418"/>
    <n v="231"/>
    <x v="4"/>
    <m/>
    <s v="FashionDeals"/>
    <x v="1"/>
    <n v="0.11465952405480581"/>
    <n v="1113"/>
    <d v="2024-06-10T00:00:00"/>
    <d v="2024-07-05T00:00:00"/>
    <x v="0"/>
  </r>
  <r>
    <s v="P285"/>
    <x v="1"/>
    <d v="2024-07-18T00:00:00"/>
    <x v="1"/>
    <s v="Explore the latest text on Myntra! Trendy styles await."/>
    <n v="4021"/>
    <n v="794"/>
    <n v="77"/>
    <n v="36189"/>
    <n v="35505"/>
    <n v="174"/>
    <x v="4"/>
    <s v="StyleWithMyntra"/>
    <s v="FashionDeals,StyleWithMyntra"/>
    <x v="0"/>
    <n v="0.13517919809886983"/>
    <n v="4892"/>
    <d v="2024-08-01T00:00:00"/>
    <d v="2024-08-31T00:00:00"/>
    <x v="0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x v="1"/>
    <s v="MyntraSale"/>
    <s v="MyntraFashion,MyntraSale"/>
    <x v="1"/>
    <n v="0.19484607062063539"/>
    <n v="3962"/>
    <d v="2024-06-10T00:00:00"/>
    <d v="2024-07-05T00:00:00"/>
    <x v="0"/>
  </r>
  <r>
    <s v="P287"/>
    <x v="2"/>
    <d v="2024-08-15T00:00:00"/>
    <x v="0"/>
    <s v="Explore the latest reel on Myntra! Trendy styles await."/>
    <n v="1164"/>
    <n v="616"/>
    <n v="324"/>
    <n v="6984"/>
    <n v="6636"/>
    <n v="82"/>
    <x v="1"/>
    <s v="MyntraTrend"/>
    <s v="MyntraFashion,MyntraTrend"/>
    <x v="2"/>
    <n v="0.30126002290950743"/>
    <n v="2104"/>
    <d v="2024-10-05T00:00:00"/>
    <d v="2024-11-05T00:00:00"/>
    <x v="0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x v="1"/>
    <s v="FashionDeals"/>
    <s v="MyntraFashion,FashionDeals"/>
    <x v="2"/>
    <n v="6.800325430032543E-2"/>
    <n v="5851"/>
    <d v="2024-10-05T00:00:00"/>
    <d v="2024-11-05T00:00:00"/>
    <x v="0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x v="3"/>
    <s v="StyleWithMyntra"/>
    <s v="MyntraTrend,StyleWithMyntra"/>
    <x v="1"/>
    <n v="7.3018902217375503E-2"/>
    <n v="3214"/>
    <d v="2024-06-10T00:00:00"/>
    <d v="2024-07-05T00:00:00"/>
    <x v="0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x v="3"/>
    <m/>
    <s v="MyntraTrend"/>
    <x v="2"/>
    <n v="8.3921940869371006E-2"/>
    <n v="3006"/>
    <d v="2024-10-05T00:00:00"/>
    <d v="2024-11-05T00:00:00"/>
    <x v="0"/>
  </r>
  <r>
    <s v="P291"/>
    <x v="3"/>
    <d v="2024-11-06T00:00:00"/>
    <x v="5"/>
    <s v="Explore the latest video on Myntra! Trendy styles await."/>
    <n v="4663"/>
    <n v="145"/>
    <n v="225"/>
    <n v="69945"/>
    <n v="69596"/>
    <n v="35"/>
    <x v="1"/>
    <m/>
    <s v="MyntraFashion"/>
    <x v="1"/>
    <n v="7.1956537279290869E-2"/>
    <n v="5033"/>
    <d v="2024-06-10T00:00:00"/>
    <d v="2024-07-05T00:00:00"/>
    <x v="0"/>
  </r>
  <r>
    <s v="P292"/>
    <x v="3"/>
    <d v="2024-11-17T00:00:00"/>
    <x v="1"/>
    <s v="Explore the latest text on Myntra! Trendy styles await."/>
    <n v="880"/>
    <n v="297"/>
    <n v="345"/>
    <n v="12320"/>
    <n v="11978"/>
    <n v="238"/>
    <x v="0"/>
    <m/>
    <s v="MyntraSale"/>
    <x v="1"/>
    <n v="0.12353896103896105"/>
    <n v="1522"/>
    <d v="2024-06-10T00:00:00"/>
    <d v="2024-07-05T00:00:00"/>
    <x v="0"/>
  </r>
  <r>
    <s v="P293"/>
    <x v="3"/>
    <d v="2025-05-14T00:00:00"/>
    <x v="1"/>
    <s v="Explore the latest text on Myntra! Trendy styles await."/>
    <n v="2634"/>
    <n v="726"/>
    <n v="241"/>
    <n v="28974"/>
    <n v="28102"/>
    <n v="277"/>
    <x v="2"/>
    <m/>
    <s v="StyleWithMyntra"/>
    <x v="2"/>
    <n v="0.12428384068475185"/>
    <n v="3601"/>
    <d v="2024-10-05T00:00:00"/>
    <d v="2024-11-05T00:00:00"/>
    <x v="0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x v="3"/>
    <s v="MyntraFashion"/>
    <s v="MyntraTrend,MyntraFashion"/>
    <x v="3"/>
    <n v="0.18248432325794406"/>
    <n v="5180"/>
    <d v="2025-01-10T00:00:00"/>
    <d v="2025-02-10T00:00:00"/>
    <x v="0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x v="0"/>
    <s v="MyntraFashion"/>
    <s v="MyntraSale,MyntraFashion"/>
    <x v="2"/>
    <n v="0.16540727459016394"/>
    <n v="2583"/>
    <d v="2024-10-05T00:00:00"/>
    <d v="2024-11-05T00:00:00"/>
    <x v="0"/>
  </r>
  <r>
    <s v="P296"/>
    <x v="0"/>
    <d v="2025-02-11T00:00:00"/>
    <x v="5"/>
    <s v="Explore the latest video on Myntra! Trendy styles await."/>
    <n v="3440"/>
    <n v="13"/>
    <n v="20"/>
    <n v="58480"/>
    <n v="58146"/>
    <n v="210"/>
    <x v="1"/>
    <s v="FashionDeals"/>
    <s v="MyntraFashion,FashionDeals"/>
    <x v="0"/>
    <n v="5.9387824897400819E-2"/>
    <n v="3473"/>
    <d v="2024-08-01T00:00:00"/>
    <d v="2024-08-31T00:00:00"/>
    <x v="0"/>
  </r>
  <r>
    <s v="P297"/>
    <x v="0"/>
    <d v="2024-12-24T00:00:00"/>
    <x v="1"/>
    <s v="Explore the latest text on Myntra! Trendy styles await."/>
    <n v="2166"/>
    <n v="354"/>
    <n v="117"/>
    <n v="10830"/>
    <n v="10245"/>
    <n v="24"/>
    <x v="2"/>
    <s v="MyntraTrend"/>
    <s v="StyleWithMyntra,MyntraTrend"/>
    <x v="0"/>
    <n v="0.24349030470914126"/>
    <n v="2637"/>
    <d v="2024-08-01T00:00:00"/>
    <d v="2024-08-31T00:00:00"/>
    <x v="0"/>
  </r>
  <r>
    <s v="P298"/>
    <x v="3"/>
    <d v="2024-10-24T00:00:00"/>
    <x v="4"/>
    <s v="Explore the latest image on Myntra! Trendy styles await."/>
    <n v="4303"/>
    <n v="451"/>
    <n v="286"/>
    <n v="86060"/>
    <n v="85823"/>
    <n v="14"/>
    <x v="0"/>
    <m/>
    <s v="MyntraSale"/>
    <x v="1"/>
    <n v="5.8563792702765516E-2"/>
    <n v="5040"/>
    <d v="2024-06-10T00:00:00"/>
    <d v="2024-07-05T00:00:00"/>
    <x v="0"/>
  </r>
  <r>
    <s v="P299"/>
    <x v="3"/>
    <d v="2024-08-26T00:00:00"/>
    <x v="4"/>
    <s v="Explore the latest image on Myntra! Trendy styles await."/>
    <n v="2581"/>
    <n v="517"/>
    <n v="117"/>
    <n v="23229"/>
    <n v="22331"/>
    <n v="70"/>
    <x v="0"/>
    <s v="StyleWithMyntra"/>
    <s v="MyntraSale,StyleWithMyntra"/>
    <x v="1"/>
    <n v="0.13840458048129492"/>
    <n v="3215"/>
    <d v="2024-06-10T00:00:00"/>
    <d v="2024-07-05T00:00:00"/>
    <x v="0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x v="1"/>
    <m/>
    <s v="MyntraFashion"/>
    <x v="0"/>
    <n v="8.3539958039290485E-2"/>
    <n v="5256"/>
    <d v="2024-08-01T00:00:00"/>
    <d v="2024-08-31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1047"/>
  </r>
  <r>
    <x v="0"/>
    <x v="1"/>
    <n v="1312"/>
    <n v="310"/>
    <n v="42654"/>
    <n v="4.9800000000000004"/>
    <n v="9566"/>
    <n v="1002"/>
  </r>
  <r>
    <x v="0"/>
    <x v="2"/>
    <n v="584"/>
    <n v="169"/>
    <n v="146834"/>
    <n v="8.31"/>
    <n v="26752"/>
    <n v="415"/>
  </r>
  <r>
    <x v="0"/>
    <x v="3"/>
    <n v="1535"/>
    <n v="445"/>
    <n v="395536"/>
    <n v="4.1100000000000003"/>
    <n v="30671"/>
    <n v="1090"/>
  </r>
  <r>
    <x v="1"/>
    <x v="0"/>
    <n v="656"/>
    <n v="139"/>
    <n v="49157"/>
    <n v="9.0500000000000007"/>
    <n v="9920"/>
    <n v="517"/>
  </r>
  <r>
    <x v="1"/>
    <x v="1"/>
    <n v="1697"/>
    <n v="414"/>
    <n v="316555"/>
    <n v="2.37"/>
    <n v="7924"/>
    <n v="1283"/>
  </r>
  <r>
    <x v="1"/>
    <x v="2"/>
    <n v="436"/>
    <n v="250"/>
    <n v="254347"/>
    <n v="4.01"/>
    <n v="8912"/>
    <n v="186"/>
  </r>
  <r>
    <x v="1"/>
    <x v="3"/>
    <n v="1197"/>
    <n v="203"/>
    <n v="413878"/>
    <n v="3.16"/>
    <n v="21205"/>
    <n v="994"/>
  </r>
  <r>
    <x v="2"/>
    <x v="0"/>
    <n v="1048"/>
    <n v="155"/>
    <n v="456946"/>
    <n v="2.46"/>
    <n v="11329"/>
    <n v="893"/>
  </r>
  <r>
    <x v="2"/>
    <x v="1"/>
    <n v="1753"/>
    <n v="371"/>
    <n v="169496"/>
    <n v="8.11"/>
    <n v="46670"/>
    <n v="1382"/>
  </r>
  <r>
    <x v="2"/>
    <x v="2"/>
    <n v="1335"/>
    <n v="40"/>
    <n v="122732"/>
    <n v="8.19"/>
    <n v="22482"/>
    <n v="1295"/>
  </r>
  <r>
    <x v="2"/>
    <x v="3"/>
    <n v="403"/>
    <n v="66"/>
    <n v="382851"/>
    <n v="3.49"/>
    <n v="24313"/>
    <n v="337"/>
  </r>
  <r>
    <x v="3"/>
    <x v="0"/>
    <n v="911"/>
    <n v="282"/>
    <n v="35664"/>
    <n v="6.92"/>
    <n v="18050"/>
    <n v="629"/>
  </r>
  <r>
    <x v="3"/>
    <x v="1"/>
    <n v="1779"/>
    <n v="109"/>
    <n v="26295"/>
    <n v="9.1199999999999992"/>
    <n v="30635"/>
    <n v="1670"/>
  </r>
  <r>
    <x v="3"/>
    <x v="2"/>
    <n v="1238"/>
    <n v="403"/>
    <n v="298421"/>
    <n v="3.5"/>
    <n v="31280"/>
    <n v="835"/>
  </r>
  <r>
    <x v="3"/>
    <x v="3"/>
    <n v="308"/>
    <n v="431"/>
    <n v="426184"/>
    <n v="2.62"/>
    <n v="1783"/>
    <n v="-123"/>
  </r>
  <r>
    <x v="4"/>
    <x v="0"/>
    <n v="226"/>
    <n v="445"/>
    <n v="419447"/>
    <n v="9.36"/>
    <n v="9566"/>
    <n v="-219"/>
  </r>
  <r>
    <x v="4"/>
    <x v="1"/>
    <n v="505"/>
    <n v="441"/>
    <n v="220020"/>
    <n v="4.4800000000000004"/>
    <n v="42307"/>
    <n v="64"/>
  </r>
  <r>
    <x v="4"/>
    <x v="2"/>
    <n v="1420"/>
    <n v="63"/>
    <n v="315305"/>
    <n v="6.19"/>
    <n v="5914"/>
    <n v="1357"/>
  </r>
  <r>
    <x v="4"/>
    <x v="3"/>
    <n v="144"/>
    <n v="53"/>
    <n v="113678"/>
    <n v="8.7200000000000006"/>
    <n v="30060"/>
    <n v="91"/>
  </r>
  <r>
    <x v="5"/>
    <x v="0"/>
    <n v="1757"/>
    <n v="85"/>
    <n v="58223"/>
    <n v="8.74"/>
    <n v="22728"/>
    <n v="1672"/>
  </r>
  <r>
    <x v="5"/>
    <x v="1"/>
    <n v="350"/>
    <n v="41"/>
    <n v="251694"/>
    <n v="1.91"/>
    <n v="38610"/>
    <n v="309"/>
  </r>
  <r>
    <x v="5"/>
    <x v="2"/>
    <n v="987"/>
    <n v="440"/>
    <n v="389810"/>
    <n v="4.66"/>
    <n v="2932"/>
    <n v="547"/>
  </r>
  <r>
    <x v="5"/>
    <x v="3"/>
    <n v="883"/>
    <n v="369"/>
    <n v="233694"/>
    <n v="2.88"/>
    <n v="15071"/>
    <n v="514"/>
  </r>
  <r>
    <x v="6"/>
    <x v="0"/>
    <n v="1960"/>
    <n v="115"/>
    <n v="154169"/>
    <n v="3.74"/>
    <n v="10740"/>
    <n v="1845"/>
  </r>
  <r>
    <x v="6"/>
    <x v="1"/>
    <n v="170"/>
    <n v="334"/>
    <n v="334626"/>
    <n v="6.44"/>
    <n v="43420"/>
    <n v="-164"/>
  </r>
  <r>
    <x v="6"/>
    <x v="2"/>
    <n v="704"/>
    <n v="275"/>
    <n v="226002"/>
    <n v="8.56"/>
    <n v="32393"/>
    <n v="429"/>
  </r>
  <r>
    <x v="6"/>
    <x v="3"/>
    <n v="224"/>
    <n v="64"/>
    <n v="156683"/>
    <n v="4.5599999999999996"/>
    <n v="28474"/>
    <n v="160"/>
  </r>
  <r>
    <x v="7"/>
    <x v="0"/>
    <n v="508"/>
    <n v="349"/>
    <n v="473812"/>
    <n v="7.88"/>
    <n v="17328"/>
    <n v="159"/>
  </r>
  <r>
    <x v="7"/>
    <x v="1"/>
    <n v="1391"/>
    <n v="430"/>
    <n v="295032"/>
    <n v="7.86"/>
    <n v="26067"/>
    <n v="961"/>
  </r>
  <r>
    <x v="7"/>
    <x v="2"/>
    <n v="1701"/>
    <n v="385"/>
    <n v="198278"/>
    <n v="5.34"/>
    <n v="32763"/>
    <n v="1316"/>
  </r>
  <r>
    <x v="7"/>
    <x v="3"/>
    <n v="804"/>
    <n v="487"/>
    <n v="306564"/>
    <n v="5.52"/>
    <n v="26452"/>
    <n v="317"/>
  </r>
  <r>
    <x v="8"/>
    <x v="0"/>
    <n v="653"/>
    <n v="112"/>
    <n v="23664"/>
    <n v="4.05"/>
    <n v="15353"/>
    <n v="541"/>
  </r>
  <r>
    <x v="8"/>
    <x v="1"/>
    <n v="160"/>
    <n v="478"/>
    <n v="435034"/>
    <n v="7.73"/>
    <n v="4839"/>
    <n v="-318"/>
  </r>
  <r>
    <x v="8"/>
    <x v="2"/>
    <n v="1756"/>
    <n v="261"/>
    <n v="287574"/>
    <n v="4.3600000000000003"/>
    <n v="39272"/>
    <n v="1495"/>
  </r>
  <r>
    <x v="8"/>
    <x v="3"/>
    <n v="576"/>
    <n v="101"/>
    <n v="62499"/>
    <n v="3.48"/>
    <n v="16804"/>
    <n v="475"/>
  </r>
  <r>
    <x v="9"/>
    <x v="0"/>
    <n v="645"/>
    <n v="293"/>
    <n v="437968"/>
    <n v="7.83"/>
    <n v="49303"/>
    <n v="352"/>
  </r>
  <r>
    <x v="9"/>
    <x v="1"/>
    <n v="214"/>
    <n v="411"/>
    <n v="125034"/>
    <n v="6.11"/>
    <n v="26455"/>
    <n v="-197"/>
  </r>
  <r>
    <x v="9"/>
    <x v="2"/>
    <n v="826"/>
    <n v="498"/>
    <n v="449994"/>
    <n v="9.43"/>
    <n v="12384"/>
    <n v="328"/>
  </r>
  <r>
    <x v="9"/>
    <x v="3"/>
    <n v="460"/>
    <n v="141"/>
    <n v="320650"/>
    <n v="4.04"/>
    <n v="49372"/>
    <n v="319"/>
  </r>
  <r>
    <x v="10"/>
    <x v="0"/>
    <n v="1528"/>
    <n v="203"/>
    <n v="489188"/>
    <n v="6.23"/>
    <n v="47101"/>
    <n v="1325"/>
  </r>
  <r>
    <x v="10"/>
    <x v="1"/>
    <n v="1534"/>
    <n v="200"/>
    <n v="307612"/>
    <n v="6.01"/>
    <n v="37903"/>
    <n v="1334"/>
  </r>
  <r>
    <x v="10"/>
    <x v="2"/>
    <n v="485"/>
    <n v="448"/>
    <n v="434883"/>
    <n v="8.5500000000000007"/>
    <n v="33258"/>
    <n v="37"/>
  </r>
  <r>
    <x v="10"/>
    <x v="3"/>
    <n v="1210"/>
    <n v="178"/>
    <n v="102042"/>
    <n v="5.42"/>
    <n v="6915"/>
    <n v="1032"/>
  </r>
  <r>
    <x v="11"/>
    <x v="0"/>
    <n v="215"/>
    <n v="139"/>
    <n v="325444"/>
    <n v="3.25"/>
    <n v="35501"/>
    <n v="76"/>
  </r>
  <r>
    <x v="11"/>
    <x v="1"/>
    <n v="1078"/>
    <n v="20"/>
    <n v="183924"/>
    <n v="8.84"/>
    <n v="14203"/>
    <n v="1058"/>
  </r>
  <r>
    <x v="11"/>
    <x v="2"/>
    <n v="1751"/>
    <n v="86"/>
    <n v="188655"/>
    <n v="7.24"/>
    <n v="22206"/>
    <n v="1665"/>
  </r>
  <r>
    <x v="11"/>
    <x v="3"/>
    <n v="221"/>
    <n v="31"/>
    <n v="87443"/>
    <n v="6.19"/>
    <n v="10283"/>
    <n v="190"/>
  </r>
  <r>
    <x v="12"/>
    <x v="0"/>
    <n v="1685"/>
    <n v="76"/>
    <n v="453799"/>
    <n v="5.71"/>
    <n v="24913"/>
    <n v="1609"/>
  </r>
  <r>
    <x v="12"/>
    <x v="1"/>
    <n v="248"/>
    <n v="211"/>
    <n v="379380"/>
    <n v="9.0399999999999991"/>
    <n v="26925"/>
    <n v="37"/>
  </r>
  <r>
    <x v="12"/>
    <x v="2"/>
    <n v="1300"/>
    <n v="71"/>
    <n v="186454"/>
    <n v="3.91"/>
    <n v="9942"/>
    <n v="1229"/>
  </r>
  <r>
    <x v="12"/>
    <x v="3"/>
    <n v="422"/>
    <n v="394"/>
    <n v="239044"/>
    <n v="7.83"/>
    <n v="32929"/>
    <n v="28"/>
  </r>
  <r>
    <x v="13"/>
    <x v="0"/>
    <n v="1429"/>
    <n v="182"/>
    <n v="101332"/>
    <n v="7.16"/>
    <n v="37829"/>
    <n v="1247"/>
  </r>
  <r>
    <x v="13"/>
    <x v="1"/>
    <n v="1520"/>
    <n v="475"/>
    <n v="496982"/>
    <n v="6.41"/>
    <n v="24384"/>
    <n v="1045"/>
  </r>
  <r>
    <x v="13"/>
    <x v="2"/>
    <n v="557"/>
    <n v="360"/>
    <n v="318779"/>
    <n v="8.02"/>
    <n v="25797"/>
    <n v="197"/>
  </r>
  <r>
    <x v="13"/>
    <x v="3"/>
    <n v="728"/>
    <n v="395"/>
    <n v="370971"/>
    <n v="3.86"/>
    <n v="12646"/>
    <n v="333"/>
  </r>
  <r>
    <x v="14"/>
    <x v="0"/>
    <n v="1592"/>
    <n v="20"/>
    <n v="378054"/>
    <n v="9.09"/>
    <n v="26663"/>
    <n v="1572"/>
  </r>
  <r>
    <x v="14"/>
    <x v="1"/>
    <n v="1842"/>
    <n v="414"/>
    <n v="307524"/>
    <n v="1.76"/>
    <n v="40478"/>
    <n v="1428"/>
  </r>
  <r>
    <x v="14"/>
    <x v="2"/>
    <n v="751"/>
    <n v="491"/>
    <n v="434047"/>
    <n v="9.24"/>
    <n v="15476"/>
    <n v="260"/>
  </r>
  <r>
    <x v="14"/>
    <x v="3"/>
    <n v="1409"/>
    <n v="309"/>
    <n v="64583"/>
    <n v="8.99"/>
    <n v="10217"/>
    <n v="1100"/>
  </r>
  <r>
    <x v="15"/>
    <x v="0"/>
    <n v="778"/>
    <n v="401"/>
    <n v="50793"/>
    <n v="3.4"/>
    <n v="21939"/>
    <n v="377"/>
  </r>
  <r>
    <x v="15"/>
    <x v="1"/>
    <n v="443"/>
    <n v="345"/>
    <n v="474162"/>
    <n v="9.1999999999999993"/>
    <n v="47462"/>
    <n v="98"/>
  </r>
  <r>
    <x v="15"/>
    <x v="2"/>
    <n v="1472"/>
    <n v="347"/>
    <n v="392355"/>
    <n v="8.59"/>
    <n v="30270"/>
    <n v="1125"/>
  </r>
  <r>
    <x v="15"/>
    <x v="3"/>
    <n v="123"/>
    <n v="155"/>
    <n v="119934"/>
    <n v="3.5"/>
    <n v="5442"/>
    <n v="-32"/>
  </r>
  <r>
    <x v="16"/>
    <x v="0"/>
    <n v="817"/>
    <n v="151"/>
    <n v="422625"/>
    <n v="2.36"/>
    <n v="1083"/>
    <n v="666"/>
  </r>
  <r>
    <x v="16"/>
    <x v="1"/>
    <n v="198"/>
    <n v="217"/>
    <n v="239753"/>
    <n v="7.36"/>
    <n v="11901"/>
    <n v="-19"/>
  </r>
  <r>
    <x v="16"/>
    <x v="2"/>
    <n v="1911"/>
    <n v="231"/>
    <n v="268516"/>
    <n v="8.5500000000000007"/>
    <n v="24018"/>
    <n v="1680"/>
  </r>
  <r>
    <x v="16"/>
    <x v="3"/>
    <n v="1218"/>
    <n v="212"/>
    <n v="63177"/>
    <n v="8.1300000000000008"/>
    <n v="38883"/>
    <n v="1006"/>
  </r>
  <r>
    <x v="17"/>
    <x v="0"/>
    <n v="1433"/>
    <n v="408"/>
    <n v="370269"/>
    <n v="3.3"/>
    <n v="30575"/>
    <n v="1025"/>
  </r>
  <r>
    <x v="17"/>
    <x v="1"/>
    <n v="250"/>
    <n v="429"/>
    <n v="453423"/>
    <n v="1.77"/>
    <n v="2315"/>
    <n v="-179"/>
  </r>
  <r>
    <x v="17"/>
    <x v="2"/>
    <n v="752"/>
    <n v="153"/>
    <n v="64906"/>
    <n v="2.09"/>
    <n v="12148"/>
    <n v="599"/>
  </r>
  <r>
    <x v="17"/>
    <x v="3"/>
    <n v="1918"/>
    <n v="212"/>
    <n v="94360"/>
    <n v="7.36"/>
    <n v="36851"/>
    <n v="1706"/>
  </r>
  <r>
    <x v="18"/>
    <x v="0"/>
    <n v="1939"/>
    <n v="67"/>
    <n v="187183"/>
    <n v="6.25"/>
    <n v="41215"/>
    <n v="1872"/>
  </r>
  <r>
    <x v="18"/>
    <x v="1"/>
    <n v="1929"/>
    <n v="267"/>
    <n v="379363"/>
    <n v="1.75"/>
    <n v="43836"/>
    <n v="1662"/>
  </r>
  <r>
    <x v="18"/>
    <x v="2"/>
    <n v="437"/>
    <n v="330"/>
    <n v="476486"/>
    <n v="4.97"/>
    <n v="4509"/>
    <n v="107"/>
  </r>
  <r>
    <x v="18"/>
    <x v="3"/>
    <n v="307"/>
    <n v="189"/>
    <n v="117767"/>
    <n v="9.3000000000000007"/>
    <n v="27822"/>
    <n v="118"/>
  </r>
  <r>
    <x v="19"/>
    <x v="0"/>
    <n v="1527"/>
    <n v="303"/>
    <n v="388555"/>
    <n v="8.9"/>
    <n v="36397"/>
    <n v="1224"/>
  </r>
  <r>
    <x v="19"/>
    <x v="1"/>
    <n v="643"/>
    <n v="358"/>
    <n v="157599"/>
    <n v="3.88"/>
    <n v="7285"/>
    <n v="285"/>
  </r>
  <r>
    <x v="19"/>
    <x v="2"/>
    <n v="201"/>
    <n v="221"/>
    <n v="309772"/>
    <n v="5.9"/>
    <n v="33174"/>
    <n v="-20"/>
  </r>
  <r>
    <x v="19"/>
    <x v="3"/>
    <n v="414"/>
    <n v="47"/>
    <n v="199178"/>
    <n v="1.53"/>
    <n v="6742"/>
    <n v="367"/>
  </r>
  <r>
    <x v="20"/>
    <x v="0"/>
    <n v="703"/>
    <n v="441"/>
    <n v="357089"/>
    <n v="6.5"/>
    <n v="32478"/>
    <n v="262"/>
  </r>
  <r>
    <x v="20"/>
    <x v="1"/>
    <n v="508"/>
    <n v="69"/>
    <n v="23492"/>
    <n v="3.16"/>
    <n v="42824"/>
    <n v="439"/>
  </r>
  <r>
    <x v="20"/>
    <x v="2"/>
    <n v="697"/>
    <n v="61"/>
    <n v="258287"/>
    <n v="8.25"/>
    <n v="21208"/>
    <n v="636"/>
  </r>
  <r>
    <x v="20"/>
    <x v="3"/>
    <n v="1707"/>
    <n v="223"/>
    <n v="256910"/>
    <n v="5.41"/>
    <n v="44321"/>
    <n v="1484"/>
  </r>
  <r>
    <x v="21"/>
    <x v="0"/>
    <n v="642"/>
    <n v="66"/>
    <n v="346522"/>
    <n v="5.85"/>
    <n v="13116"/>
    <n v="576"/>
  </r>
  <r>
    <x v="21"/>
    <x v="1"/>
    <n v="859"/>
    <n v="473"/>
    <n v="209987"/>
    <n v="4.46"/>
    <n v="30214"/>
    <n v="386"/>
  </r>
  <r>
    <x v="21"/>
    <x v="2"/>
    <n v="191"/>
    <n v="154"/>
    <n v="240550"/>
    <n v="5.22"/>
    <n v="15827"/>
    <n v="37"/>
  </r>
  <r>
    <x v="21"/>
    <x v="3"/>
    <n v="1814"/>
    <n v="157"/>
    <n v="305827"/>
    <n v="1.99"/>
    <n v="46643"/>
    <n v="1657"/>
  </r>
  <r>
    <x v="22"/>
    <x v="0"/>
    <n v="1466"/>
    <n v="69"/>
    <n v="54935"/>
    <n v="6.85"/>
    <n v="36484"/>
    <n v="1397"/>
  </r>
  <r>
    <x v="22"/>
    <x v="1"/>
    <n v="947"/>
    <n v="407"/>
    <n v="319186"/>
    <n v="3.32"/>
    <n v="4996"/>
    <n v="540"/>
  </r>
  <r>
    <x v="22"/>
    <x v="2"/>
    <n v="1821"/>
    <n v="218"/>
    <n v="439080"/>
    <n v="5.68"/>
    <n v="36095"/>
    <n v="1603"/>
  </r>
  <r>
    <x v="22"/>
    <x v="3"/>
    <n v="1507"/>
    <n v="463"/>
    <n v="258944"/>
    <n v="6.08"/>
    <n v="16443"/>
    <n v="1044"/>
  </r>
  <r>
    <x v="23"/>
    <x v="0"/>
    <n v="1075"/>
    <n v="173"/>
    <n v="51395"/>
    <n v="4.66"/>
    <n v="47812"/>
    <n v="902"/>
  </r>
  <r>
    <x v="23"/>
    <x v="1"/>
    <n v="171"/>
    <n v="277"/>
    <n v="309483"/>
    <n v="8.6999999999999993"/>
    <n v="38452"/>
    <n v="-106"/>
  </r>
  <r>
    <x v="23"/>
    <x v="2"/>
    <n v="1487"/>
    <n v="337"/>
    <n v="87305"/>
    <n v="2.46"/>
    <n v="30428"/>
    <n v="1150"/>
  </r>
  <r>
    <x v="23"/>
    <x v="3"/>
    <n v="454"/>
    <n v="105"/>
    <n v="121091"/>
    <n v="7.97"/>
    <n v="9269"/>
    <n v="349"/>
  </r>
  <r>
    <x v="24"/>
    <x v="0"/>
    <n v="187"/>
    <n v="236"/>
    <n v="51087"/>
    <n v="9.41"/>
    <n v="29533"/>
    <n v="-49"/>
  </r>
  <r>
    <x v="24"/>
    <x v="1"/>
    <n v="513"/>
    <n v="441"/>
    <n v="338847"/>
    <n v="2.68"/>
    <n v="39997"/>
    <n v="72"/>
  </r>
  <r>
    <x v="24"/>
    <x v="2"/>
    <n v="628"/>
    <n v="183"/>
    <n v="487523"/>
    <n v="7.32"/>
    <n v="5391"/>
    <n v="445"/>
  </r>
  <r>
    <x v="24"/>
    <x v="3"/>
    <n v="278"/>
    <n v="218"/>
    <n v="301695"/>
    <n v="4.68"/>
    <n v="22373"/>
    <n v="60"/>
  </r>
  <r>
    <x v="25"/>
    <x v="0"/>
    <n v="1854"/>
    <n v="161"/>
    <n v="282466"/>
    <n v="5.17"/>
    <n v="1810"/>
    <n v="1693"/>
  </r>
  <r>
    <x v="25"/>
    <x v="1"/>
    <n v="1710"/>
    <n v="378"/>
    <n v="336661"/>
    <n v="6.2"/>
    <n v="28498"/>
    <n v="1332"/>
  </r>
  <r>
    <x v="25"/>
    <x v="2"/>
    <n v="330"/>
    <n v="232"/>
    <n v="88455"/>
    <n v="2.69"/>
    <n v="39530"/>
    <n v="98"/>
  </r>
  <r>
    <x v="25"/>
    <x v="3"/>
    <n v="1293"/>
    <n v="408"/>
    <n v="62535"/>
    <n v="8.9"/>
    <n v="37876"/>
    <n v="885"/>
  </r>
  <r>
    <x v="26"/>
    <x v="0"/>
    <n v="1696"/>
    <n v="71"/>
    <n v="421957"/>
    <n v="3.79"/>
    <n v="36103"/>
    <n v="1625"/>
  </r>
  <r>
    <x v="26"/>
    <x v="1"/>
    <n v="1902"/>
    <n v="196"/>
    <n v="470269"/>
    <n v="4.79"/>
    <n v="26103"/>
    <n v="1706"/>
  </r>
  <r>
    <x v="26"/>
    <x v="2"/>
    <n v="1441"/>
    <n v="268"/>
    <n v="309904"/>
    <n v="6.37"/>
    <n v="3455"/>
    <n v="1173"/>
  </r>
  <r>
    <x v="26"/>
    <x v="3"/>
    <n v="452"/>
    <n v="161"/>
    <n v="221274"/>
    <n v="2.65"/>
    <n v="40888"/>
    <n v="291"/>
  </r>
  <r>
    <x v="27"/>
    <x v="0"/>
    <n v="1494"/>
    <n v="375"/>
    <n v="220616"/>
    <n v="1.81"/>
    <n v="22724"/>
    <n v="1119"/>
  </r>
  <r>
    <x v="27"/>
    <x v="1"/>
    <n v="1514"/>
    <n v="141"/>
    <n v="35842"/>
    <n v="7.47"/>
    <n v="18601"/>
    <n v="1373"/>
  </r>
  <r>
    <x v="27"/>
    <x v="2"/>
    <n v="1937"/>
    <n v="210"/>
    <n v="20607"/>
    <n v="4.2"/>
    <n v="20861"/>
    <n v="1727"/>
  </r>
  <r>
    <x v="27"/>
    <x v="3"/>
    <n v="736"/>
    <n v="163"/>
    <n v="451894"/>
    <n v="5.43"/>
    <n v="46625"/>
    <n v="573"/>
  </r>
  <r>
    <x v="28"/>
    <x v="0"/>
    <n v="1502"/>
    <n v="70"/>
    <n v="465553"/>
    <n v="3.32"/>
    <n v="20692"/>
    <n v="1432"/>
  </r>
  <r>
    <x v="28"/>
    <x v="1"/>
    <n v="1623"/>
    <n v="246"/>
    <n v="415815"/>
    <n v="8.11"/>
    <n v="18656"/>
    <n v="1377"/>
  </r>
  <r>
    <x v="28"/>
    <x v="2"/>
    <n v="1592"/>
    <n v="233"/>
    <n v="327183"/>
    <n v="6.66"/>
    <n v="13316"/>
    <n v="1359"/>
  </r>
  <r>
    <x v="28"/>
    <x v="3"/>
    <n v="1004"/>
    <n v="128"/>
    <n v="488901"/>
    <n v="8.09"/>
    <n v="49558"/>
    <n v="876"/>
  </r>
  <r>
    <x v="29"/>
    <x v="0"/>
    <n v="1092"/>
    <n v="408"/>
    <n v="280795"/>
    <n v="8.44"/>
    <n v="4683"/>
    <n v="684"/>
  </r>
  <r>
    <x v="29"/>
    <x v="1"/>
    <n v="1155"/>
    <n v="425"/>
    <n v="93347"/>
    <n v="2.02"/>
    <n v="47502"/>
    <n v="730"/>
  </r>
  <r>
    <x v="29"/>
    <x v="2"/>
    <n v="1137"/>
    <n v="226"/>
    <n v="81119"/>
    <n v="7.74"/>
    <n v="35359"/>
    <n v="911"/>
  </r>
  <r>
    <x v="29"/>
    <x v="3"/>
    <n v="1900"/>
    <n v="311"/>
    <n v="25177"/>
    <n v="2.89"/>
    <n v="14154"/>
    <n v="1589"/>
  </r>
  <r>
    <x v="30"/>
    <x v="0"/>
    <n v="1814"/>
    <n v="49"/>
    <n v="140804"/>
    <n v="1.76"/>
    <n v="4313"/>
    <n v="1765"/>
  </r>
  <r>
    <x v="30"/>
    <x v="1"/>
    <n v="1980"/>
    <n v="204"/>
    <n v="379431"/>
    <n v="3.09"/>
    <n v="25140"/>
    <n v="1776"/>
  </r>
  <r>
    <x v="30"/>
    <x v="2"/>
    <n v="1786"/>
    <n v="257"/>
    <n v="274831"/>
    <n v="4.68"/>
    <n v="9118"/>
    <n v="1529"/>
  </r>
  <r>
    <x v="30"/>
    <x v="3"/>
    <n v="1495"/>
    <n v="35"/>
    <n v="136845"/>
    <n v="4.4800000000000004"/>
    <n v="39931"/>
    <n v="1460"/>
  </r>
  <r>
    <x v="31"/>
    <x v="0"/>
    <n v="1013"/>
    <n v="110"/>
    <n v="466382"/>
    <n v="5.3"/>
    <n v="37132"/>
    <n v="903"/>
  </r>
  <r>
    <x v="31"/>
    <x v="1"/>
    <n v="816"/>
    <n v="196"/>
    <n v="95728"/>
    <n v="8.1999999999999993"/>
    <n v="17951"/>
    <n v="620"/>
  </r>
  <r>
    <x v="31"/>
    <x v="2"/>
    <n v="1633"/>
    <n v="445"/>
    <n v="371156"/>
    <n v="2.2200000000000002"/>
    <n v="2798"/>
    <n v="1188"/>
  </r>
  <r>
    <x v="31"/>
    <x v="3"/>
    <n v="891"/>
    <n v="45"/>
    <n v="95410"/>
    <n v="8.33"/>
    <n v="15045"/>
    <n v="846"/>
  </r>
  <r>
    <x v="32"/>
    <x v="0"/>
    <n v="1855"/>
    <n v="133"/>
    <n v="349413"/>
    <n v="3.3"/>
    <n v="14548"/>
    <n v="1722"/>
  </r>
  <r>
    <x v="32"/>
    <x v="1"/>
    <n v="651"/>
    <n v="353"/>
    <n v="224699"/>
    <n v="5.61"/>
    <n v="45708"/>
    <n v="298"/>
  </r>
  <r>
    <x v="32"/>
    <x v="2"/>
    <n v="118"/>
    <n v="262"/>
    <n v="487896"/>
    <n v="2.56"/>
    <n v="12350"/>
    <n v="-144"/>
  </r>
  <r>
    <x v="32"/>
    <x v="3"/>
    <n v="1331"/>
    <n v="430"/>
    <n v="14437"/>
    <n v="3.29"/>
    <n v="40868"/>
    <n v="901"/>
  </r>
  <r>
    <x v="33"/>
    <x v="0"/>
    <n v="1748"/>
    <n v="176"/>
    <n v="383681"/>
    <n v="9.24"/>
    <n v="43122"/>
    <n v="1572"/>
  </r>
  <r>
    <x v="33"/>
    <x v="1"/>
    <n v="663"/>
    <n v="236"/>
    <n v="479490"/>
    <n v="4.51"/>
    <n v="23853"/>
    <n v="427"/>
  </r>
  <r>
    <x v="33"/>
    <x v="2"/>
    <n v="1040"/>
    <n v="149"/>
    <n v="124404"/>
    <n v="5.23"/>
    <n v="45380"/>
    <n v="891"/>
  </r>
  <r>
    <x v="33"/>
    <x v="3"/>
    <n v="1166"/>
    <n v="442"/>
    <n v="336949"/>
    <n v="4.68"/>
    <n v="7705"/>
    <n v="724"/>
  </r>
  <r>
    <x v="34"/>
    <x v="0"/>
    <n v="115"/>
    <n v="281"/>
    <n v="357265"/>
    <n v="9.23"/>
    <n v="25525"/>
    <n v="-166"/>
  </r>
  <r>
    <x v="34"/>
    <x v="1"/>
    <n v="1249"/>
    <n v="351"/>
    <n v="321307"/>
    <n v="6.37"/>
    <n v="20560"/>
    <n v="898"/>
  </r>
  <r>
    <x v="34"/>
    <x v="2"/>
    <n v="1501"/>
    <n v="75"/>
    <n v="262569"/>
    <n v="2.0099999999999998"/>
    <n v="19119"/>
    <n v="1426"/>
  </r>
  <r>
    <x v="34"/>
    <x v="3"/>
    <n v="1411"/>
    <n v="186"/>
    <n v="461669"/>
    <n v="3.72"/>
    <n v="43999"/>
    <n v="1225"/>
  </r>
  <r>
    <x v="35"/>
    <x v="0"/>
    <n v="1556"/>
    <n v="476"/>
    <n v="351556"/>
    <n v="3.89"/>
    <n v="10825"/>
    <n v="1080"/>
  </r>
  <r>
    <x v="35"/>
    <x v="1"/>
    <n v="1159"/>
    <n v="411"/>
    <n v="135987"/>
    <n v="8.6999999999999993"/>
    <n v="40323"/>
    <n v="748"/>
  </r>
  <r>
    <x v="35"/>
    <x v="2"/>
    <n v="927"/>
    <n v="358"/>
    <n v="177554"/>
    <n v="6.95"/>
    <n v="48270"/>
    <n v="569"/>
  </r>
  <r>
    <x v="35"/>
    <x v="3"/>
    <n v="152"/>
    <n v="355"/>
    <n v="270766"/>
    <n v="9.48"/>
    <n v="18001"/>
    <n v="-203"/>
  </r>
  <r>
    <x v="36"/>
    <x v="0"/>
    <n v="1957"/>
    <n v="234"/>
    <n v="222126"/>
    <n v="4.6100000000000003"/>
    <n v="3314"/>
    <n v="1723"/>
  </r>
  <r>
    <x v="36"/>
    <x v="1"/>
    <n v="1294"/>
    <n v="382"/>
    <n v="309914"/>
    <n v="8.0299999999999994"/>
    <n v="23489"/>
    <n v="912"/>
  </r>
  <r>
    <x v="36"/>
    <x v="2"/>
    <n v="1587"/>
    <n v="385"/>
    <n v="126582"/>
    <n v="6.99"/>
    <n v="42832"/>
    <n v="1202"/>
  </r>
  <r>
    <x v="36"/>
    <x v="3"/>
    <n v="1707"/>
    <n v="263"/>
    <n v="485280"/>
    <n v="9.0299999999999994"/>
    <n v="24494"/>
    <n v="1444"/>
  </r>
  <r>
    <x v="37"/>
    <x v="0"/>
    <n v="1138"/>
    <n v="173"/>
    <n v="453243"/>
    <n v="2.86"/>
    <n v="44097"/>
    <n v="965"/>
  </r>
  <r>
    <x v="37"/>
    <x v="1"/>
    <n v="1895"/>
    <n v="305"/>
    <n v="104967"/>
    <n v="3.85"/>
    <n v="31853"/>
    <n v="1590"/>
  </r>
  <r>
    <x v="37"/>
    <x v="2"/>
    <n v="362"/>
    <n v="399"/>
    <n v="145608"/>
    <n v="7.3"/>
    <n v="37636"/>
    <n v="-37"/>
  </r>
  <r>
    <x v="37"/>
    <x v="3"/>
    <n v="1662"/>
    <n v="487"/>
    <n v="105980"/>
    <n v="9.08"/>
    <n v="22996"/>
    <n v="1175"/>
  </r>
  <r>
    <x v="38"/>
    <x v="0"/>
    <n v="1440"/>
    <n v="65"/>
    <n v="126524"/>
    <n v="4.34"/>
    <n v="49772"/>
    <n v="1375"/>
  </r>
  <r>
    <x v="38"/>
    <x v="1"/>
    <n v="1884"/>
    <n v="177"/>
    <n v="230448"/>
    <n v="7.8"/>
    <n v="22713"/>
    <n v="1707"/>
  </r>
  <r>
    <x v="38"/>
    <x v="2"/>
    <n v="861"/>
    <n v="153"/>
    <n v="317007"/>
    <n v="3.85"/>
    <n v="8718"/>
    <n v="708"/>
  </r>
  <r>
    <x v="38"/>
    <x v="3"/>
    <n v="1063"/>
    <n v="47"/>
    <n v="464239"/>
    <n v="6.58"/>
    <n v="39031"/>
    <n v="1016"/>
  </r>
  <r>
    <x v="39"/>
    <x v="0"/>
    <n v="1371"/>
    <n v="56"/>
    <n v="257579"/>
    <n v="8.6199999999999992"/>
    <n v="33799"/>
    <n v="1315"/>
  </r>
  <r>
    <x v="39"/>
    <x v="1"/>
    <n v="345"/>
    <n v="464"/>
    <n v="366881"/>
    <n v="4.55"/>
    <n v="20553"/>
    <n v="-119"/>
  </r>
  <r>
    <x v="39"/>
    <x v="2"/>
    <n v="946"/>
    <n v="47"/>
    <n v="466575"/>
    <n v="8.33"/>
    <n v="10002"/>
    <n v="899"/>
  </r>
  <r>
    <x v="39"/>
    <x v="3"/>
    <n v="510"/>
    <n v="195"/>
    <n v="224534"/>
    <n v="9.4"/>
    <n v="30987"/>
    <n v="315"/>
  </r>
  <r>
    <x v="40"/>
    <x v="0"/>
    <n v="393"/>
    <n v="181"/>
    <n v="462142"/>
    <n v="7.23"/>
    <n v="6296"/>
    <n v="212"/>
  </r>
  <r>
    <x v="40"/>
    <x v="1"/>
    <n v="1098"/>
    <n v="190"/>
    <n v="340842"/>
    <n v="9.39"/>
    <n v="21539"/>
    <n v="908"/>
  </r>
  <r>
    <x v="40"/>
    <x v="2"/>
    <n v="1399"/>
    <n v="49"/>
    <n v="12471"/>
    <n v="5.12"/>
    <n v="14722"/>
    <n v="1350"/>
  </r>
  <r>
    <x v="40"/>
    <x v="3"/>
    <n v="1658"/>
    <n v="416"/>
    <n v="98397"/>
    <n v="6.11"/>
    <n v="11383"/>
    <n v="1242"/>
  </r>
  <r>
    <x v="41"/>
    <x v="0"/>
    <n v="1102"/>
    <n v="422"/>
    <n v="410330"/>
    <n v="7.74"/>
    <n v="9480"/>
    <n v="680"/>
  </r>
  <r>
    <x v="41"/>
    <x v="1"/>
    <n v="1358"/>
    <n v="242"/>
    <n v="342129"/>
    <n v="4.9400000000000004"/>
    <n v="29116"/>
    <n v="1116"/>
  </r>
  <r>
    <x v="41"/>
    <x v="2"/>
    <n v="1077"/>
    <n v="216"/>
    <n v="12447"/>
    <n v="1.8"/>
    <n v="14068"/>
    <n v="861"/>
  </r>
  <r>
    <x v="41"/>
    <x v="3"/>
    <n v="1596"/>
    <n v="211"/>
    <n v="17380"/>
    <n v="8.64"/>
    <n v="35801"/>
    <n v="1385"/>
  </r>
  <r>
    <x v="42"/>
    <x v="0"/>
    <n v="490"/>
    <n v="29"/>
    <n v="364810"/>
    <n v="1.53"/>
    <n v="49077"/>
    <n v="461"/>
  </r>
  <r>
    <x v="42"/>
    <x v="1"/>
    <n v="609"/>
    <n v="135"/>
    <n v="373606"/>
    <n v="8.52"/>
    <n v="21453"/>
    <n v="474"/>
  </r>
  <r>
    <x v="42"/>
    <x v="2"/>
    <n v="364"/>
    <n v="72"/>
    <n v="211090"/>
    <n v="5.53"/>
    <n v="21061"/>
    <n v="292"/>
  </r>
  <r>
    <x v="42"/>
    <x v="3"/>
    <n v="442"/>
    <n v="53"/>
    <n v="441931"/>
    <n v="1.87"/>
    <n v="20059"/>
    <n v="389"/>
  </r>
  <r>
    <x v="43"/>
    <x v="0"/>
    <n v="1033"/>
    <n v="392"/>
    <n v="282780"/>
    <n v="6.27"/>
    <n v="23140"/>
    <n v="641"/>
  </r>
  <r>
    <x v="43"/>
    <x v="1"/>
    <n v="988"/>
    <n v="474"/>
    <n v="370070"/>
    <n v="9.4600000000000009"/>
    <n v="23461"/>
    <n v="514"/>
  </r>
  <r>
    <x v="43"/>
    <x v="2"/>
    <n v="1946"/>
    <n v="270"/>
    <n v="198350"/>
    <n v="7.5"/>
    <n v="11805"/>
    <n v="1676"/>
  </r>
  <r>
    <x v="43"/>
    <x v="3"/>
    <n v="1957"/>
    <n v="490"/>
    <n v="435726"/>
    <n v="4.7300000000000004"/>
    <n v="15969"/>
    <n v="1467"/>
  </r>
  <r>
    <x v="44"/>
    <x v="0"/>
    <n v="559"/>
    <n v="392"/>
    <n v="78789"/>
    <n v="3.19"/>
    <n v="2436"/>
    <n v="167"/>
  </r>
  <r>
    <x v="44"/>
    <x v="1"/>
    <n v="1307"/>
    <n v="278"/>
    <n v="98596"/>
    <n v="2.4900000000000002"/>
    <n v="47603"/>
    <n v="1029"/>
  </r>
  <r>
    <x v="44"/>
    <x v="2"/>
    <n v="1432"/>
    <n v="425"/>
    <n v="29589"/>
    <n v="4.5"/>
    <n v="42964"/>
    <n v="1007"/>
  </r>
  <r>
    <x v="44"/>
    <x v="3"/>
    <n v="623"/>
    <n v="414"/>
    <n v="290354"/>
    <n v="6.49"/>
    <n v="39923"/>
    <n v="209"/>
  </r>
  <r>
    <x v="45"/>
    <x v="0"/>
    <n v="198"/>
    <n v="358"/>
    <n v="66682"/>
    <n v="6.73"/>
    <n v="2293"/>
    <n v="-160"/>
  </r>
  <r>
    <x v="45"/>
    <x v="1"/>
    <n v="198"/>
    <n v="373"/>
    <n v="70707"/>
    <n v="4.83"/>
    <n v="25920"/>
    <n v="-175"/>
  </r>
  <r>
    <x v="45"/>
    <x v="2"/>
    <n v="353"/>
    <n v="300"/>
    <n v="142507"/>
    <n v="5.3"/>
    <n v="11035"/>
    <n v="53"/>
  </r>
  <r>
    <x v="45"/>
    <x v="3"/>
    <n v="520"/>
    <n v="375"/>
    <n v="369525"/>
    <n v="6.54"/>
    <n v="20733"/>
    <n v="145"/>
  </r>
  <r>
    <x v="46"/>
    <x v="0"/>
    <n v="961"/>
    <n v="358"/>
    <n v="62942"/>
    <n v="6.8"/>
    <n v="18693"/>
    <n v="603"/>
  </r>
  <r>
    <x v="46"/>
    <x v="1"/>
    <n v="1375"/>
    <n v="330"/>
    <n v="377382"/>
    <n v="2.6"/>
    <n v="7875"/>
    <n v="1045"/>
  </r>
  <r>
    <x v="46"/>
    <x v="2"/>
    <n v="1147"/>
    <n v="388"/>
    <n v="333851"/>
    <n v="2.44"/>
    <n v="8471"/>
    <n v="759"/>
  </r>
  <r>
    <x v="46"/>
    <x v="3"/>
    <n v="1707"/>
    <n v="74"/>
    <n v="270958"/>
    <n v="3.09"/>
    <n v="14090"/>
    <n v="1633"/>
  </r>
  <r>
    <x v="47"/>
    <x v="0"/>
    <n v="1693"/>
    <n v="154"/>
    <n v="445944"/>
    <n v="5.69"/>
    <n v="14216"/>
    <n v="1539"/>
  </r>
  <r>
    <x v="47"/>
    <x v="1"/>
    <n v="833"/>
    <n v="380"/>
    <n v="224830"/>
    <n v="3.86"/>
    <n v="3582"/>
    <n v="453"/>
  </r>
  <r>
    <x v="47"/>
    <x v="2"/>
    <n v="1222"/>
    <n v="274"/>
    <n v="487289"/>
    <n v="3.16"/>
    <n v="32500"/>
    <n v="948"/>
  </r>
  <r>
    <x v="47"/>
    <x v="3"/>
    <n v="777"/>
    <n v="140"/>
    <n v="11435"/>
    <n v="1.6"/>
    <n v="6832"/>
    <n v="637"/>
  </r>
  <r>
    <x v="48"/>
    <x v="0"/>
    <n v="1957"/>
    <n v="76"/>
    <n v="447902"/>
    <n v="6.09"/>
    <n v="33381"/>
    <n v="1881"/>
  </r>
  <r>
    <x v="48"/>
    <x v="1"/>
    <n v="405"/>
    <n v="66"/>
    <n v="418696"/>
    <n v="5.59"/>
    <n v="48419"/>
    <n v="339"/>
  </r>
  <r>
    <x v="48"/>
    <x v="2"/>
    <n v="1581"/>
    <n v="71"/>
    <n v="484364"/>
    <n v="3.55"/>
    <n v="16149"/>
    <n v="1510"/>
  </r>
  <r>
    <x v="48"/>
    <x v="3"/>
    <n v="1035"/>
    <n v="171"/>
    <n v="148477"/>
    <n v="5.21"/>
    <n v="7541"/>
    <n v="864"/>
  </r>
  <r>
    <x v="49"/>
    <x v="0"/>
    <n v="1765"/>
    <n v="109"/>
    <n v="468301"/>
    <n v="1.82"/>
    <n v="20042"/>
    <n v="1656"/>
  </r>
  <r>
    <x v="49"/>
    <x v="1"/>
    <n v="837"/>
    <n v="430"/>
    <n v="364820"/>
    <n v="4"/>
    <n v="49400"/>
    <n v="407"/>
  </r>
  <r>
    <x v="49"/>
    <x v="2"/>
    <n v="337"/>
    <n v="68"/>
    <n v="456298"/>
    <n v="7.57"/>
    <n v="4007"/>
    <n v="269"/>
  </r>
  <r>
    <x v="49"/>
    <x v="3"/>
    <n v="119"/>
    <n v="456"/>
    <n v="82558"/>
    <n v="6.81"/>
    <n v="12174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61DC8-792F-4F0B-AEDD-CA04D748A629}" name="PivotTable5" cacheId="6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C25:D30" firstHeaderRow="1" firstDataRow="1" firstDataCol="1"/>
  <pivotFields count="20">
    <pivotField showAll="0"/>
    <pivotField axis="axisRow" showAll="0" sortType="descending">
      <items count="5">
        <item sd="0" x="3"/>
        <item sd="0" x="2"/>
        <item sd="0" x="0"/>
        <item sd="0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numFmtId="10" showAll="0"/>
    <pivotField showAll="0"/>
    <pivotField numFmtId="14" showAll="0"/>
    <pivotField numFmtId="14" showAll="0"/>
    <pivotField showAll="0"/>
  </pivotFields>
  <rowFields count="2">
    <field x="1"/>
    <field x="11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Average of Clicks" fld="10" subtotal="average" baseField="1" baseItem="0"/>
  </dataFields>
  <formats count="7">
    <format dxfId="39">
      <pivotArea collapsedLevelsAreSubtotals="1" fieldPosition="0">
        <references count="1">
          <reference field="1" count="3">
            <x v="0"/>
            <x v="1"/>
            <x v="2"/>
          </reference>
        </references>
      </pivotArea>
    </format>
    <format dxfId="40">
      <pivotArea collapsedLevelsAreSubtotals="1" fieldPosition="0">
        <references count="1">
          <reference field="1" count="3">
            <x v="0"/>
            <x v="1"/>
            <x v="2"/>
          </reference>
        </references>
      </pivotArea>
    </format>
    <format dxfId="41">
      <pivotArea collapsedLevelsAreSubtotals="1" fieldPosition="0">
        <references count="1">
          <reference field="1" count="3">
            <x v="0"/>
            <x v="1"/>
            <x v="2"/>
          </reference>
        </references>
      </pivotArea>
    </format>
    <format dxfId="42">
      <pivotArea collapsedLevelsAreSubtotals="1" fieldPosition="0">
        <references count="1">
          <reference field="1" count="3">
            <x v="0"/>
            <x v="1"/>
            <x v="2"/>
          </reference>
        </references>
      </pivotArea>
    </format>
    <format dxfId="43">
      <pivotArea collapsedLevelsAreSubtotals="1" fieldPosition="0">
        <references count="1">
          <reference field="1" count="1">
            <x v="0"/>
          </reference>
        </references>
      </pivotArea>
    </format>
    <format dxfId="44">
      <pivotArea collapsedLevelsAreSubtotals="1" fieldPosition="0">
        <references count="1">
          <reference field="1" count="1">
            <x v="0"/>
          </reference>
        </references>
      </pivotArea>
    </format>
    <format dxfId="45">
      <pivotArea collapsedLevelsAreSubtotals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518BD-3BA8-42A6-8198-2A25A6438114}" name="PivotTable7" cacheId="6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 colHeaderCaption="Playform">
  <location ref="E9:T18" firstHeaderRow="1" firstDataRow="3" firstDataCol="1"/>
  <pivotFields count="20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numFmtId="14" showAll="0"/>
    <pivotField numFmtId="14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63C55-B8A3-483F-BCA3-1BA0FD9FF54C}" name="PivotTable12" cacheId="68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latform">
  <location ref="F25:G30" firstHeaderRow="1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numFmtId="10" showAll="0"/>
    <pivotField showAll="0"/>
    <pivotField numFmtId="14" showAll="0"/>
    <pivotField numFmtId="14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Clicks" fld="10" subtotal="average" baseField="0" baseItem="0"/>
  </dataFields>
  <formats count="1">
    <format dxfId="38">
      <pivotArea dataOnly="0" labelOnly="1" fieldPosition="0">
        <references count="1">
          <reference field="1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79230-3D7C-47C6-8130-9969F7824E59}" name="PivotTable9" cacheId="68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 rowHeaderCaption="PLATFORM">
  <location ref="B7:C11" firstHeaderRow="1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Engagement_Rat" fld="5" subtotal="average" baseField="1" baseItem="0"/>
  </dataFields>
  <formats count="2">
    <format dxfId="36">
      <pivotArea dataOnly="0" labelOnly="1" fieldPosition="0">
        <references count="1">
          <reference field="1" count="1">
            <x v="1"/>
          </reference>
        </references>
      </pivotArea>
    </format>
    <format dxfId="37">
      <pivotArea collapsedLevelsAreSubtotals="1" fieldPosition="0">
        <references count="1">
          <reference field="1" count="1">
            <x v="1"/>
          </reference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BBC39-FBDD-416E-B9FA-7D24B9BA88CA}" name="PivotTable1" cacheId="684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2">
  <location ref="I33:K38" firstHeaderRow="0" firstDataRow="1" firstDataCol="1"/>
  <pivotFields count="8">
    <pivotField compact="0" numFmtId="14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Follower_Growth" fld="7" subtotal="average" baseField="0" baseItem="0"/>
    <dataField name="Average of Ad_Spend" fld="6" subtotal="average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" name="Week_Start_Date">
      <autoFilter ref="A1">
        <filterColumn colId="0">
          <customFilters and="1">
            <customFilter operator="greaterThanOrEqual" val="45778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D2985-6A33-4CC2-AAAF-D62E5796B8A4}" name="PivotTable10" cacheId="6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latform">
  <location ref="I24:J29" firstHeaderRow="1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Followers_Growth" fld="7" baseField="1" baseItem="0"/>
  </dataFields>
  <formats count="1">
    <format dxfId="35">
      <pivotArea collapsedLevelsAreSubtotals="1" fieldPosition="0">
        <references count="1">
          <reference field="1" count="1">
            <x v="1"/>
          </reference>
        </references>
      </pivotArea>
    </format>
  </format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64739-F4F9-4E9A-92B6-9CD1750CD4A1}" name="PivotTable16" cacheId="68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htags Used 1">
  <location ref="F8:H13" firstHeaderRow="0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dataField="1" numFmtId="10" showAll="0"/>
    <pivotField showAll="0"/>
    <pivotField numFmtId="14" showAll="0"/>
    <pivotField numFmtId="14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Engagement_Rate" fld="15" subtotal="average" baseField="11" baseItem="0" numFmtId="10"/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E9613-11AB-47CB-B53F-997461801CD3}" name="PivotTable14" cacheId="68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htags Used 1">
  <location ref="C8:D13" firstHeaderRow="1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numFmtId="10" showAll="0"/>
    <pivotField showAll="0"/>
    <pivotField numFmtId="14" showAll="0"/>
    <pivotField numFmtId="14"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Hashtags" fld="13" subtotal="count" baseField="0" baseItem="0"/>
  </dataFields>
  <formats count="2">
    <format dxfId="33">
      <pivotArea dataOnly="0" labelOnly="1" fieldPosition="0">
        <references count="1">
          <reference field="11" count="1">
            <x v="2"/>
          </reference>
        </references>
      </pivotArea>
    </format>
    <format dxfId="34">
      <pivotArea collapsedLevelsAreSubtotals="1" fieldPosition="0">
        <references count="1">
          <reference field="11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FD478-D394-47C6-B551-F5E313D57655}" name="PivotTable10" cacheId="6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 colHeaderCaption="Content Type">
  <location ref="C27:J33" firstHeaderRow="1" firstDataRow="2" firstDataCol="1"/>
  <pivotFields count="20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numFmtId="14" showAll="0"/>
    <pivotField numFmtId="14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_Rate" fld="15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55AC2-8B32-42C6-BDD6-E771248160EA}" name="PivotTable8" cacheId="68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ontent Type">
  <location ref="C17:E20" firstHeaderRow="0" firstDataRow="1" firstDataCol="1"/>
  <pivotFields count="20">
    <pivotField showAll="0"/>
    <pivotField showAll="0"/>
    <pivotField numFmtId="14" showAll="0"/>
    <pivotField axis="axisRow" showAll="0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numFmtId="14" showAll="0"/>
    <pivotField numFmtId="14" showAll="0"/>
    <pivotField showAll="0"/>
  </pivotFields>
  <rowFields count="1">
    <field x="3"/>
  </rowFields>
  <rowItems count="3">
    <i>
      <x/>
    </i>
    <i>
      <x v="1"/>
    </i>
    <i>
      <x v="5"/>
    </i>
  </rowItems>
  <colFields count="1">
    <field x="-2"/>
  </colFields>
  <colItems count="2">
    <i>
      <x/>
    </i>
    <i i="1">
      <x v="1"/>
    </i>
  </colItems>
  <dataFields count="2">
    <dataField name="Average of Likes" fld="5" subtotal="average" baseField="3" baseItem="0"/>
    <dataField name="Average of Engagement_Rate" fld="15" subtotal="average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0A205-C49D-4DCD-9BC7-A4A3C908EF70}" name="PivotTable1" cacheId="6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:E13" firstHeaderRow="0" firstDataRow="1" firstDataCol="1"/>
  <pivotFields count="20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numFmtId="10" outline="0" showAll="0"/>
    <pivotField compact="0" outline="0" showAll="0"/>
    <pivotField compact="0" numFmtId="14" outline="0" showAll="0"/>
    <pivotField compact="0" numFmtId="14" outline="0" showAll="0"/>
    <pivotField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8" subtotal="average" baseField="0" baseItem="0"/>
    <dataField name="Average of Likes" fld="5" subtotal="average" baseField="0" baseItem="0"/>
    <dataField name="Average of Click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1DBFA-61F7-4ABA-B5EE-7BEA9C5AE858}" name="PivotTable2" cacheId="6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mpagin_Name">
  <location ref="E33:H39" firstHeaderRow="1" firstDataRow="2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numFmtId="10" showAll="0"/>
    <pivotField showAll="0"/>
    <pivotField numFmtId="14" showAll="0"/>
    <pivotField numFmtId="14" showAll="0"/>
    <pivotField axis="axisCol" showAll="0">
      <items count="3">
        <item x="0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Average of Engagement_Rate" fld="15" subtotal="average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6A469-5BE4-43B7-90FF-61BB3460AC64}" name="PivotTable6" cacheId="6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mpaign_Name">
  <location ref="G8:K21" firstHeaderRow="0" firstDataRow="1" firstDataCol="1"/>
  <pivotFields count="20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numFmtId="10" showAll="0"/>
    <pivotField showAll="0"/>
    <pivotField numFmtId="14" showAll="0"/>
    <pivotField numFmtId="14" showAll="0"/>
    <pivotField axis="axisRow" showAll="0">
      <items count="3">
        <item x="0"/>
        <item x="1"/>
        <item t="default"/>
      </items>
    </pivotField>
  </pivotFields>
  <rowFields count="2">
    <field x="14"/>
    <field x="19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gagement_Rate" fld="15" subtotal="average" baseField="14" baseItem="0" numFmtId="10"/>
    <dataField name="Sum of Clicks" fld="10" baseField="0" baseItem="0"/>
    <dataField name="Sum of Impressions" fld="8" baseField="0" baseItem="0"/>
    <dataField name="Sum of Likes" fld="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19235-0324-4A39-8944-D38FB67EF4E0}" name="PivotTable5" cacheId="6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latform">
  <location ref="H25:J30" firstHeaderRow="0" firstDataRow="1" firstDataCol="1"/>
  <pivotFields count="8">
    <pivotField numFmtId="1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d_Spend" fld="6" subtotal="average" baseField="1" baseItem="0"/>
    <dataField name="Average of Follower_Growth" fld="7" subtotal="average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E5694-C2FB-429C-BC72-83DB2501DE6B}" name="PivotTable1" cacheId="6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Weeks" colHeaderCaption="Platform">
  <location ref="A7:F59" firstHeaderRow="1" firstDataRow="2" firstDataCol="1"/>
  <pivotFields count="8">
    <pivotField axis="axisRow" numFmtId="14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1">
    <i>
      <x v="30"/>
    </i>
    <i>
      <x v="36"/>
    </i>
    <i>
      <x v="28"/>
    </i>
    <i>
      <x v="38"/>
    </i>
    <i>
      <x v="26"/>
    </i>
    <i>
      <x v="27"/>
    </i>
    <i>
      <x v="48"/>
    </i>
    <i>
      <x v="22"/>
    </i>
    <i>
      <x v="14"/>
    </i>
    <i>
      <x v="43"/>
    </i>
    <i>
      <x v="41"/>
    </i>
    <i>
      <x v="46"/>
    </i>
    <i>
      <x v="25"/>
    </i>
    <i>
      <x v="29"/>
    </i>
    <i>
      <x v="2"/>
    </i>
    <i>
      <x v="18"/>
    </i>
    <i>
      <x v="10"/>
    </i>
    <i>
      <x v="40"/>
    </i>
    <i>
      <x v="37"/>
    </i>
    <i>
      <x v="33"/>
    </i>
    <i>
      <x v="47"/>
    </i>
    <i>
      <x v="31"/>
    </i>
    <i>
      <x/>
    </i>
    <i>
      <x v="34"/>
    </i>
    <i>
      <x v="16"/>
    </i>
    <i>
      <x v="17"/>
    </i>
    <i>
      <x v="5"/>
    </i>
    <i>
      <x v="3"/>
    </i>
    <i>
      <x v="11"/>
    </i>
    <i>
      <x v="1"/>
    </i>
    <i>
      <x v="12"/>
    </i>
    <i>
      <x v="13"/>
    </i>
    <i>
      <x v="20"/>
    </i>
    <i>
      <x v="32"/>
    </i>
    <i>
      <x v="7"/>
    </i>
    <i>
      <x v="21"/>
    </i>
    <i>
      <x v="44"/>
    </i>
    <i>
      <x v="39"/>
    </i>
    <i>
      <x v="23"/>
    </i>
    <i>
      <x v="6"/>
    </i>
    <i>
      <x v="35"/>
    </i>
    <i>
      <x v="8"/>
    </i>
    <i>
      <x v="49"/>
    </i>
    <i>
      <x v="19"/>
    </i>
    <i>
      <x v="42"/>
    </i>
    <i>
      <x v="15"/>
    </i>
    <i>
      <x v="4"/>
    </i>
    <i>
      <x v="9"/>
    </i>
    <i>
      <x v="24"/>
    </i>
    <i>
      <x v="4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Follower_Growth" fld="7" baseField="0" baseItem="0"/>
  </dataFields>
  <formats count="2">
    <format dxfId="31">
      <pivotArea field="0" grandCol="1" collapsedLevelsAreSubtotals="1" axis="axisRow" fieldPosition="0">
        <references count="1">
          <reference field="0" count="1">
            <x v="30"/>
          </reference>
        </references>
      </pivotArea>
    </format>
    <format dxfId="32">
      <pivotArea dataOnly="0" labelOnly="1" fieldPosition="0">
        <references count="1">
          <reference field="0" count="1">
            <x v="30"/>
          </reference>
        </references>
      </pivotArea>
    </format>
  </format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C378D32-605B-403E-9FEA-EE338AF180FF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946C568-673D-4A18-8960-BFA1F3254390}" autoFormatId="16" applyNumberFormats="0" applyBorderFormats="0" applyFontFormats="0" applyPatternFormats="0" applyAlignmentFormats="0" applyWidthHeightFormats="0">
  <queryTableRefresh nextId="9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2441BF2-454A-4932-B6B8-912B8E96262B}" autoFormatId="16" applyNumberFormats="0" applyBorderFormats="0" applyFontFormats="0" applyPatternFormats="0" applyAlignmentFormats="0" applyWidthHeightFormats="0">
  <queryTableRefresh nextId="30" unboundColumnsRight="5">
    <queryTableFields count="20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6" name="Hashtags Used.1" tableColumnId="16"/>
      <queryTableField id="17" name="Hashtags Used.2" tableColumnId="17"/>
      <queryTableField id="20" dataBound="0" tableColumnId="18"/>
      <queryTableField id="13" name="Campaign_Name" tableColumnId="13"/>
      <queryTableField id="15" dataBound="0" tableColumnId="15"/>
      <queryTableField id="22" dataBound="0" tableColumnId="12"/>
      <queryTableField id="23" dataBound="0" tableColumnId="14"/>
      <queryTableField id="24" dataBound="0" tableColumnId="19"/>
      <queryTableField id="29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5D3FEB-4C58-4281-B1E0-0B9B3B7BFB6A}" name="Engagment_Summary_1" displayName="Engagment_Summary_1" ref="A1:H201" tableType="queryTable" totalsRowShown="0">
  <autoFilter ref="A1:H201" xr:uid="{A35D3FEB-4C58-4281-B1E0-0B9B3B7BFB6A}"/>
  <tableColumns count="8">
    <tableColumn id="1" xr3:uid="{16FE897D-DF1C-4FF6-A74B-D7EE70CD1312}" uniqueName="1" name="Week_Start_Date" queryTableFieldId="1" dataDxfId="30"/>
    <tableColumn id="2" xr3:uid="{6ED4CD29-3DFF-4497-B80D-76ACCF9DE65E}" uniqueName="2" name="Platform" queryTableFieldId="2" dataDxfId="29"/>
    <tableColumn id="3" xr3:uid="{81937817-8189-4324-94E5-535D766A85D1}" uniqueName="3" name="New_Followers" queryTableFieldId="3"/>
    <tableColumn id="4" xr3:uid="{E6EC7A22-2A5C-44D7-B68F-80DFF90416A6}" uniqueName="4" name="Unfollows" queryTableFieldId="4"/>
    <tableColumn id="5" xr3:uid="{83C2EFD1-D91E-4438-852C-3D0EBBBDAE1A}" uniqueName="5" name="Total_Followers" queryTableFieldId="5"/>
    <tableColumn id="6" xr3:uid="{7F6651BF-1ED4-4E9C-A0B3-3D5AAA52E27A}" uniqueName="6" name="Engagement_Rate" queryTableFieldId="6"/>
    <tableColumn id="7" xr3:uid="{2664CA8E-AAE0-4CB8-8037-0CD668DE5B85}" uniqueName="7" name="Ad_Spend" queryTableFieldId="7"/>
    <tableColumn id="8" xr3:uid="{9A740F7B-A2E0-48DB-95C7-E4E4CBAC7E81}" uniqueName="8" name="Follower_Growth" queryTableFieldId="8" dataDxfId="28">
      <calculatedColumnFormula>Engagment_Summary_1[[#This Row],[New_Followers]]-Engagment_Summary_1[[#This Row],[Unfollows]]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C5F21C-2C54-4499-8212-70F955579D21}" name="Campaign_Data_" displayName="Campaign_Data_" ref="A1:F5" tableType="queryTable" totalsRowShown="0">
  <autoFilter ref="A1:F5" xr:uid="{20C5F21C-2C54-4499-8212-70F955579D21}"/>
  <tableColumns count="6">
    <tableColumn id="1" xr3:uid="{EF9B8487-888F-4411-AC14-6939A8F622E4}" uniqueName="1" name="Campaign_Name" queryTableFieldId="1" dataDxfId="27"/>
    <tableColumn id="2" xr3:uid="{48E49C6D-5B26-4348-AA5A-A6D0EFAC03AF}" uniqueName="2" name="Start_Date" queryTableFieldId="2" dataDxfId="26"/>
    <tableColumn id="3" xr3:uid="{A7E24298-673C-453F-8A99-58256619B7DA}" uniqueName="3" name="End_Date" queryTableFieldId="3" dataDxfId="25"/>
    <tableColumn id="4" xr3:uid="{A541948F-9B9C-439B-96EA-940D97964A27}" uniqueName="4" name="Objective" queryTableFieldId="4" dataDxfId="24"/>
    <tableColumn id="5" xr3:uid="{82B5830D-6AAC-46FC-AD3D-EE5C58151588}" uniqueName="5" name="Total_Budget" queryTableFieldId="5"/>
    <tableColumn id="6" xr3:uid="{C51AB8D0-63F6-4F4B-9D6C-3015A1375C33}" uniqueName="6" name="Target_Platforms" queryTableFieldId="6" dataDxfId="2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0B70AC-51E1-4768-B8B3-83FE6F34C4EA}" name="Post" displayName="Post" ref="A1:T301" tableType="queryTable" totalsRowShown="0" dataDxfId="22">
  <autoFilter ref="A1:T301" xr:uid="{A50B70AC-51E1-4768-B8B3-83FE6F34C4EA}"/>
  <sortState xmlns:xlrd2="http://schemas.microsoft.com/office/spreadsheetml/2017/richdata2" ref="A2:Q301">
    <sortCondition ref="A1:A301"/>
  </sortState>
  <tableColumns count="20">
    <tableColumn id="1" xr3:uid="{A008C10D-D1E0-423C-906C-56095EC89069}" uniqueName="1" name="Post ID" queryTableFieldId="1" dataDxfId="21"/>
    <tableColumn id="2" xr3:uid="{B22D7545-7A3A-4E6D-80D7-A08BB98D3CDB}" uniqueName="2" name="Platform" queryTableFieldId="2" dataDxfId="20"/>
    <tableColumn id="3" xr3:uid="{34FD14D3-F9AF-4ADB-9697-B190E3A230BE}" uniqueName="3" name="Date" queryTableFieldId="3" dataDxfId="19"/>
    <tableColumn id="4" xr3:uid="{27419DB9-C39E-4D0E-9BA1-A6F5BB19F9EF}" uniqueName="4" name="Content Type" queryTableFieldId="4" dataDxfId="18"/>
    <tableColumn id="5" xr3:uid="{0982C1F1-0E83-45A9-866F-4BAE140C3F89}" uniqueName="5" name="Post Text" queryTableFieldId="5" dataDxfId="17"/>
    <tableColumn id="6" xr3:uid="{4E32F0E0-C4A1-4F56-995A-6770ED7DE534}" uniqueName="6" name="Likes" queryTableFieldId="6" dataDxfId="16"/>
    <tableColumn id="7" xr3:uid="{DF6A8B0B-806A-49BC-81A9-0E078EC22DC1}" uniqueName="7" name="Shares" queryTableFieldId="7" dataDxfId="15"/>
    <tableColumn id="8" xr3:uid="{31276806-3753-4AD4-97CE-6DC809E782E8}" uniqueName="8" name="Comments" queryTableFieldId="8" dataDxfId="14"/>
    <tableColumn id="9" xr3:uid="{D8CF0005-B692-4D5A-B5E5-B5158493AC20}" uniqueName="9" name="Impressions" queryTableFieldId="9" dataDxfId="13"/>
    <tableColumn id="10" xr3:uid="{85513179-60A2-449E-9A5D-CDA380766C5C}" uniqueName="10" name="Reach" queryTableFieldId="10" dataDxfId="12"/>
    <tableColumn id="11" xr3:uid="{BA238F78-8CF0-42F3-8164-019439B4053B}" uniqueName="11" name="Clicks" queryTableFieldId="11" dataDxfId="11"/>
    <tableColumn id="16" xr3:uid="{D1623F18-637F-4BFD-B345-BDC3408111EC}" uniqueName="16" name="Hashtags Used.1" queryTableFieldId="16" dataDxfId="10"/>
    <tableColumn id="17" xr3:uid="{7D414284-9C00-4F44-A6D6-85C8615B461C}" uniqueName="17" name="Hashtags Used.2" queryTableFieldId="17" dataDxfId="9"/>
    <tableColumn id="18" xr3:uid="{A009BBA7-AC73-4126-8F15-026987B2A58A}" uniqueName="18" name="Hashtags" queryTableFieldId="20" dataDxfId="8">
      <calculatedColumnFormula>_xlfn.TEXTJOIN(",",TRUE,L2,M2)</calculatedColumnFormula>
    </tableColumn>
    <tableColumn id="13" xr3:uid="{F52CBC62-7164-4D79-8DE0-D335990CECFB}" uniqueName="13" name="Campaign_Name" queryTableFieldId="13" dataDxfId="7"/>
    <tableColumn id="15" xr3:uid="{B91F036A-9979-4ADF-A632-9F8419AD0765}" uniqueName="15" name="Engagement_Rate" queryTableFieldId="15" dataDxfId="6">
      <calculatedColumnFormula>(Post[[#This Row],[Likes]]+Post[[#This Row],[Shares]]+Post[[#This Row],[Comments]])/Post[[#This Row],[Impressions]]</calculatedColumnFormula>
    </tableColumn>
    <tableColumn id="12" xr3:uid="{D3847278-AE14-4711-93B1-02E7928C00D6}" uniqueName="12" name="Total_Engagement" queryTableFieldId="22" dataDxfId="5">
      <calculatedColumnFormula>F2+G2+H2</calculatedColumnFormula>
    </tableColumn>
    <tableColumn id="14" xr3:uid="{66248DA1-5E84-49B7-8FA6-AAA1CA78324D}" uniqueName="14" name="Start_Date" queryTableFieldId="23" dataDxfId="4">
      <calculatedColumnFormula>_xlfn.XLOOKUP($O2,'Campaign Data '!$A:$A,'Campaign Data '!$B:$B)</calculatedColumnFormula>
    </tableColumn>
    <tableColumn id="19" xr3:uid="{6D0F5711-97E0-4318-9804-B1D6E822C538}" uniqueName="19" name="End_Date" queryTableFieldId="24" dataDxfId="3">
      <calculatedColumnFormula>_xlfn.XLOOKUP($O2,'Campaign Data '!$A:$A,'Campaign Data '!$C:$C)</calculatedColumnFormula>
    </tableColumn>
    <tableColumn id="24" xr3:uid="{4CD10F80-2CC7-48A1-958F-B7DA68C06B8A}" uniqueName="24" name="Campaign_Phase" queryTableFieldId="29" dataDxfId="2">
      <calculatedColumnFormula>+IF(AND($C2&gt;=$R2,$C2&lt;=$S2),"During","Before")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30656-A498-4962-952B-2BD09809E5CF}" name="Table1" displayName="Table1" ref="C9:C19" totalsRowShown="0" headerRowDxfId="1">
  <autoFilter ref="C9:C19" xr:uid="{13530656-A498-4962-952B-2BD09809E5CF}"/>
  <tableColumns count="1">
    <tableColumn id="1" xr3:uid="{86B98477-7F95-4D2E-BA88-137F27DF3E8C}" name="top 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be499911e6a947309431e3547d1674f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loom.com/share/be499911e6a947309431e3547d1674f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loom.com/share/be499911e6a947309431e3547d1674f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loom.com/share/be499911e6a947309431e3547d1674f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4.xml"/><Relationship Id="rId4" Type="http://schemas.openxmlformats.org/officeDocument/2006/relationships/hyperlink" Target="https://www.loom.com/share/be499911e6a947309431e3547d1674f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1.xml"/><Relationship Id="rId4" Type="http://schemas.openxmlformats.org/officeDocument/2006/relationships/hyperlink" Target="https://www.loom.com/share/be499911e6a947309431e3547d1674f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hyperlink" Target="https://www.loom.com/share/be499911e6a947309431e3547d1674ff" TargetMode="External"/><Relationship Id="rId4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drawing" Target="../drawings/drawing2.xml"/><Relationship Id="rId4" Type="http://schemas.openxmlformats.org/officeDocument/2006/relationships/hyperlink" Target="https://www.loom.com/share/be499911e6a947309431e3547d1674f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om.com/share/be499911e6a947309431e3547d1674ff" TargetMode="Externa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033E-BBDD-4B1F-A91B-3656849968A8}">
  <sheetPr>
    <tabColor theme="8"/>
  </sheetPr>
  <dimension ref="A1:Y301"/>
  <sheetViews>
    <sheetView workbookViewId="0">
      <selection activeCell="F7" sqref="F7"/>
    </sheetView>
  </sheetViews>
  <sheetFormatPr defaultRowHeight="15"/>
  <cols>
    <col min="1" max="1" width="7.140625" bestFit="1" customWidth="1"/>
    <col min="2" max="2" width="9.5703125" bestFit="1" customWidth="1"/>
    <col min="3" max="3" width="10.85546875" bestFit="1" customWidth="1"/>
    <col min="4" max="4" width="12.85546875" bestFit="1" customWidth="1"/>
    <col min="5" max="5" width="52.140625" bestFit="1" customWidth="1"/>
    <col min="6" max="6" width="5.28515625" bestFit="1" customWidth="1"/>
    <col min="7" max="7" width="6.7109375" bestFit="1" customWidth="1"/>
    <col min="8" max="8" width="10.42578125" bestFit="1" customWidth="1"/>
    <col min="9" max="9" width="11.5703125" bestFit="1" customWidth="1"/>
    <col min="10" max="10" width="6.28515625" bestFit="1" customWidth="1"/>
    <col min="11" max="11" width="5.85546875" bestFit="1" customWidth="1"/>
    <col min="12" max="12" width="31.5703125" bestFit="1" customWidth="1"/>
    <col min="13" max="13" width="16.85546875" bestFit="1" customWidth="1"/>
  </cols>
  <sheetData>
    <row r="1" spans="1: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25">
      <c r="A2" s="71" t="s">
        <v>13</v>
      </c>
      <c r="B2" s="71" t="s">
        <v>14</v>
      </c>
      <c r="C2" s="71" t="s">
        <v>15</v>
      </c>
      <c r="D2" s="71" t="s">
        <v>16</v>
      </c>
      <c r="E2" s="71" t="s">
        <v>17</v>
      </c>
      <c r="F2" s="71">
        <v>1461</v>
      </c>
      <c r="G2" s="71">
        <v>184</v>
      </c>
      <c r="H2" s="71">
        <v>344</v>
      </c>
      <c r="I2" s="71">
        <v>21915</v>
      </c>
      <c r="J2" s="71">
        <v>21675</v>
      </c>
      <c r="K2" s="71">
        <v>15</v>
      </c>
      <c r="L2" s="71" t="s">
        <v>18</v>
      </c>
      <c r="M2" s="71" t="s">
        <v>19</v>
      </c>
    </row>
    <row r="3" spans="1:25">
      <c r="A3" s="71" t="s">
        <v>20</v>
      </c>
      <c r="B3" s="71" t="s">
        <v>14</v>
      </c>
      <c r="C3" s="71" t="s">
        <v>21</v>
      </c>
      <c r="D3" s="71" t="s">
        <v>22</v>
      </c>
      <c r="E3" s="71" t="s">
        <v>23</v>
      </c>
      <c r="F3" s="71">
        <v>4054</v>
      </c>
      <c r="G3" s="71">
        <v>389</v>
      </c>
      <c r="H3" s="71">
        <v>493</v>
      </c>
      <c r="I3" s="71">
        <v>64864</v>
      </c>
      <c r="J3" s="71">
        <v>64383</v>
      </c>
      <c r="K3" s="71">
        <v>117</v>
      </c>
      <c r="L3" s="71" t="s">
        <v>24</v>
      </c>
      <c r="M3" s="71" t="s">
        <v>25</v>
      </c>
    </row>
    <row r="4" spans="1:25">
      <c r="A4" s="71" t="s">
        <v>26</v>
      </c>
      <c r="B4" s="71" t="s">
        <v>27</v>
      </c>
      <c r="C4" s="71" t="s">
        <v>28</v>
      </c>
      <c r="D4" s="71" t="s">
        <v>16</v>
      </c>
      <c r="E4" s="71" t="s">
        <v>17</v>
      </c>
      <c r="F4" s="71">
        <v>2795</v>
      </c>
      <c r="G4" s="71">
        <v>105</v>
      </c>
      <c r="H4" s="71">
        <v>49</v>
      </c>
      <c r="I4" s="71">
        <v>53105</v>
      </c>
      <c r="J4" s="71">
        <v>52307</v>
      </c>
      <c r="K4" s="71">
        <v>204</v>
      </c>
      <c r="L4" s="71" t="s">
        <v>29</v>
      </c>
      <c r="M4" s="71" t="s">
        <v>19</v>
      </c>
    </row>
    <row r="5" spans="1:25">
      <c r="A5" s="71" t="s">
        <v>30</v>
      </c>
      <c r="B5" s="71" t="s">
        <v>31</v>
      </c>
      <c r="C5" s="71" t="s">
        <v>32</v>
      </c>
      <c r="D5" s="71" t="s">
        <v>33</v>
      </c>
      <c r="E5" s="71" t="s">
        <v>34</v>
      </c>
      <c r="F5" s="71">
        <v>2404</v>
      </c>
      <c r="G5" s="71">
        <v>363</v>
      </c>
      <c r="H5" s="71">
        <v>138</v>
      </c>
      <c r="I5" s="71">
        <v>19232</v>
      </c>
      <c r="J5" s="71">
        <v>18636</v>
      </c>
      <c r="K5" s="71">
        <v>128</v>
      </c>
      <c r="L5" s="71" t="s">
        <v>18</v>
      </c>
      <c r="M5" s="71" t="s">
        <v>19</v>
      </c>
      <c r="P5" s="43" t="s">
        <v>35</v>
      </c>
      <c r="Q5" s="43"/>
      <c r="R5" s="43"/>
      <c r="S5" s="43"/>
      <c r="T5" s="43"/>
      <c r="U5" s="43"/>
      <c r="V5" s="43"/>
      <c r="W5" s="43"/>
      <c r="X5" s="43"/>
      <c r="Y5" s="43"/>
    </row>
    <row r="6" spans="1:25">
      <c r="A6" s="71" t="s">
        <v>36</v>
      </c>
      <c r="B6" s="71" t="s">
        <v>27</v>
      </c>
      <c r="C6" s="71" t="s">
        <v>37</v>
      </c>
      <c r="D6" s="71" t="s">
        <v>16</v>
      </c>
      <c r="E6" s="71" t="s">
        <v>17</v>
      </c>
      <c r="F6" s="71">
        <v>3557</v>
      </c>
      <c r="G6" s="71">
        <v>687</v>
      </c>
      <c r="H6" s="71">
        <v>424</v>
      </c>
      <c r="I6" s="71">
        <v>71140</v>
      </c>
      <c r="J6" s="71">
        <v>70701</v>
      </c>
      <c r="K6" s="71">
        <v>224</v>
      </c>
      <c r="L6" s="71" t="s">
        <v>38</v>
      </c>
      <c r="M6" s="71" t="s">
        <v>39</v>
      </c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>
      <c r="A7" s="71" t="s">
        <v>40</v>
      </c>
      <c r="B7" s="71" t="s">
        <v>41</v>
      </c>
      <c r="C7" s="71" t="s">
        <v>42</v>
      </c>
      <c r="D7" s="71" t="s">
        <v>43</v>
      </c>
      <c r="E7" s="71" t="s">
        <v>44</v>
      </c>
      <c r="F7" s="71">
        <v>2945</v>
      </c>
      <c r="G7" s="71">
        <v>930</v>
      </c>
      <c r="H7" s="71">
        <v>355</v>
      </c>
      <c r="I7" s="71">
        <v>23560</v>
      </c>
      <c r="J7" s="71">
        <v>23275</v>
      </c>
      <c r="K7" s="71">
        <v>256</v>
      </c>
      <c r="L7" s="71" t="s">
        <v>45</v>
      </c>
      <c r="M7" s="71" t="s">
        <v>25</v>
      </c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>
      <c r="A8" s="71" t="s">
        <v>46</v>
      </c>
      <c r="B8" s="71" t="s">
        <v>14</v>
      </c>
      <c r="C8" s="71" t="s">
        <v>47</v>
      </c>
      <c r="D8" s="71" t="s">
        <v>43</v>
      </c>
      <c r="E8" s="71" t="s">
        <v>44</v>
      </c>
      <c r="F8" s="71">
        <v>3860</v>
      </c>
      <c r="G8" s="71">
        <v>201</v>
      </c>
      <c r="H8" s="71">
        <v>279</v>
      </c>
      <c r="I8" s="71">
        <v>61760</v>
      </c>
      <c r="J8" s="71">
        <v>61660</v>
      </c>
      <c r="K8" s="71">
        <v>235</v>
      </c>
      <c r="L8" s="71" t="s">
        <v>45</v>
      </c>
      <c r="M8" s="71" t="s">
        <v>39</v>
      </c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>
      <c r="A9" s="71" t="s">
        <v>48</v>
      </c>
      <c r="B9" s="71" t="s">
        <v>27</v>
      </c>
      <c r="C9" s="71" t="s">
        <v>49</v>
      </c>
      <c r="D9" s="71" t="s">
        <v>50</v>
      </c>
      <c r="E9" s="71" t="s">
        <v>51</v>
      </c>
      <c r="F9" s="71">
        <v>3929</v>
      </c>
      <c r="G9" s="71">
        <v>262</v>
      </c>
      <c r="H9" s="71">
        <v>278</v>
      </c>
      <c r="I9" s="71">
        <v>43219</v>
      </c>
      <c r="J9" s="71">
        <v>42841</v>
      </c>
      <c r="K9" s="71">
        <v>39</v>
      </c>
      <c r="L9" s="71" t="s">
        <v>29</v>
      </c>
      <c r="M9" s="71" t="s">
        <v>39</v>
      </c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>
      <c r="A10" s="71" t="s">
        <v>52</v>
      </c>
      <c r="B10" s="71" t="s">
        <v>41</v>
      </c>
      <c r="C10" s="71" t="s">
        <v>53</v>
      </c>
      <c r="D10" s="71" t="s">
        <v>22</v>
      </c>
      <c r="E10" s="71" t="s">
        <v>23</v>
      </c>
      <c r="F10" s="71">
        <v>3784</v>
      </c>
      <c r="G10" s="71">
        <v>808</v>
      </c>
      <c r="H10" s="71">
        <v>404</v>
      </c>
      <c r="I10" s="71">
        <v>56760</v>
      </c>
      <c r="J10" s="71">
        <v>56343</v>
      </c>
      <c r="K10" s="71">
        <v>131</v>
      </c>
      <c r="L10" s="71" t="s">
        <v>29</v>
      </c>
      <c r="M10" s="71" t="s">
        <v>39</v>
      </c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>
      <c r="A11" s="71" t="s">
        <v>54</v>
      </c>
      <c r="B11" s="71" t="s">
        <v>41</v>
      </c>
      <c r="C11" s="71" t="s">
        <v>55</v>
      </c>
      <c r="D11" s="71" t="s">
        <v>50</v>
      </c>
      <c r="E11" s="71" t="s">
        <v>51</v>
      </c>
      <c r="F11" s="71">
        <v>4241</v>
      </c>
      <c r="G11" s="71">
        <v>902</v>
      </c>
      <c r="H11" s="71">
        <v>47</v>
      </c>
      <c r="I11" s="71">
        <v>72097</v>
      </c>
      <c r="J11" s="71">
        <v>71598</v>
      </c>
      <c r="K11" s="71">
        <v>167</v>
      </c>
      <c r="L11" s="71" t="s">
        <v>45</v>
      </c>
      <c r="M11" s="71" t="s">
        <v>56</v>
      </c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>
      <c r="A12" s="71" t="s">
        <v>57</v>
      </c>
      <c r="B12" s="71" t="s">
        <v>31</v>
      </c>
      <c r="C12" s="71" t="s">
        <v>58</v>
      </c>
      <c r="D12" s="71" t="s">
        <v>33</v>
      </c>
      <c r="E12" s="71" t="s">
        <v>34</v>
      </c>
      <c r="F12" s="71">
        <v>1792</v>
      </c>
      <c r="G12" s="71">
        <v>614</v>
      </c>
      <c r="H12" s="71">
        <v>497</v>
      </c>
      <c r="I12" s="71">
        <v>25088</v>
      </c>
      <c r="J12" s="71">
        <v>24675</v>
      </c>
      <c r="K12" s="71">
        <v>65</v>
      </c>
      <c r="L12" s="71" t="s">
        <v>59</v>
      </c>
      <c r="M12" s="71" t="s">
        <v>19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>
      <c r="A13" s="71" t="s">
        <v>60</v>
      </c>
      <c r="B13" s="71" t="s">
        <v>41</v>
      </c>
      <c r="C13" s="71" t="s">
        <v>61</v>
      </c>
      <c r="D13" s="71" t="s">
        <v>16</v>
      </c>
      <c r="E13" s="71" t="s">
        <v>17</v>
      </c>
      <c r="F13" s="71">
        <v>1946</v>
      </c>
      <c r="G13" s="71">
        <v>686</v>
      </c>
      <c r="H13" s="71">
        <v>377</v>
      </c>
      <c r="I13" s="71">
        <v>23352</v>
      </c>
      <c r="J13" s="71">
        <v>22982</v>
      </c>
      <c r="K13" s="71">
        <v>213</v>
      </c>
      <c r="L13" s="71" t="s">
        <v>62</v>
      </c>
      <c r="M13" s="71" t="s">
        <v>39</v>
      </c>
    </row>
    <row r="14" spans="1:25">
      <c r="A14" s="71" t="s">
        <v>63</v>
      </c>
      <c r="B14" s="71" t="s">
        <v>27</v>
      </c>
      <c r="C14" s="71" t="s">
        <v>64</v>
      </c>
      <c r="D14" s="71" t="s">
        <v>43</v>
      </c>
      <c r="E14" s="71" t="s">
        <v>44</v>
      </c>
      <c r="F14" s="71">
        <v>1171</v>
      </c>
      <c r="G14" s="71">
        <v>286</v>
      </c>
      <c r="H14" s="71">
        <v>231</v>
      </c>
      <c r="I14" s="71">
        <v>22249</v>
      </c>
      <c r="J14" s="71">
        <v>21282</v>
      </c>
      <c r="K14" s="71">
        <v>114</v>
      </c>
      <c r="L14" s="71" t="s">
        <v>24</v>
      </c>
      <c r="M14" s="71" t="s">
        <v>56</v>
      </c>
    </row>
    <row r="15" spans="1:25">
      <c r="A15" s="71" t="s">
        <v>65</v>
      </c>
      <c r="B15" s="71" t="s">
        <v>41</v>
      </c>
      <c r="C15" s="71" t="s">
        <v>66</v>
      </c>
      <c r="D15" s="71" t="s">
        <v>33</v>
      </c>
      <c r="E15" s="71" t="s">
        <v>34</v>
      </c>
      <c r="F15" s="71">
        <v>4242</v>
      </c>
      <c r="G15" s="71">
        <v>555</v>
      </c>
      <c r="H15" s="71">
        <v>131</v>
      </c>
      <c r="I15" s="71">
        <v>33936</v>
      </c>
      <c r="J15" s="71">
        <v>33802</v>
      </c>
      <c r="K15" s="71">
        <v>265</v>
      </c>
      <c r="L15" s="71" t="s">
        <v>67</v>
      </c>
      <c r="M15" s="71" t="s">
        <v>39</v>
      </c>
    </row>
    <row r="16" spans="1:25">
      <c r="A16" s="71" t="s">
        <v>68</v>
      </c>
      <c r="B16" s="71" t="s">
        <v>41</v>
      </c>
      <c r="C16" s="71" t="s">
        <v>69</v>
      </c>
      <c r="D16" s="71" t="s">
        <v>70</v>
      </c>
      <c r="E16" s="71" t="s">
        <v>71</v>
      </c>
      <c r="F16" s="71">
        <v>3888</v>
      </c>
      <c r="G16" s="71">
        <v>604</v>
      </c>
      <c r="H16" s="71">
        <v>128</v>
      </c>
      <c r="I16" s="71">
        <v>77760</v>
      </c>
      <c r="J16" s="71">
        <v>77167</v>
      </c>
      <c r="K16" s="71">
        <v>20</v>
      </c>
      <c r="L16" s="71" t="s">
        <v>72</v>
      </c>
      <c r="M16" s="71" t="s">
        <v>19</v>
      </c>
    </row>
    <row r="17" spans="1:13">
      <c r="A17" s="71" t="s">
        <v>73</v>
      </c>
      <c r="B17" s="71" t="s">
        <v>41</v>
      </c>
      <c r="C17" s="71" t="s">
        <v>74</v>
      </c>
      <c r="D17" s="71" t="s">
        <v>22</v>
      </c>
      <c r="E17" s="71" t="s">
        <v>23</v>
      </c>
      <c r="F17" s="71">
        <v>3452</v>
      </c>
      <c r="G17" s="71">
        <v>377</v>
      </c>
      <c r="H17" s="71">
        <v>360</v>
      </c>
      <c r="I17" s="71">
        <v>55232</v>
      </c>
      <c r="J17" s="71">
        <v>55075</v>
      </c>
      <c r="K17" s="71">
        <v>87</v>
      </c>
      <c r="L17" s="71" t="s">
        <v>75</v>
      </c>
      <c r="M17" s="71" t="s">
        <v>39</v>
      </c>
    </row>
    <row r="18" spans="1:13">
      <c r="A18" s="71" t="s">
        <v>76</v>
      </c>
      <c r="B18" s="71" t="s">
        <v>41</v>
      </c>
      <c r="C18" s="71" t="s">
        <v>77</v>
      </c>
      <c r="D18" s="71" t="s">
        <v>22</v>
      </c>
      <c r="E18" s="71" t="s">
        <v>23</v>
      </c>
      <c r="F18" s="71">
        <v>4441</v>
      </c>
      <c r="G18" s="71">
        <v>511</v>
      </c>
      <c r="H18" s="71">
        <v>70</v>
      </c>
      <c r="I18" s="71">
        <v>53292</v>
      </c>
      <c r="J18" s="71">
        <v>53082</v>
      </c>
      <c r="K18" s="71">
        <v>159</v>
      </c>
      <c r="L18" s="71" t="s">
        <v>78</v>
      </c>
      <c r="M18" s="71" t="s">
        <v>39</v>
      </c>
    </row>
    <row r="19" spans="1:13">
      <c r="A19" s="71" t="s">
        <v>79</v>
      </c>
      <c r="B19" s="71" t="s">
        <v>31</v>
      </c>
      <c r="C19" s="71" t="s">
        <v>80</v>
      </c>
      <c r="D19" s="71" t="s">
        <v>16</v>
      </c>
      <c r="E19" s="71" t="s">
        <v>17</v>
      </c>
      <c r="F19" s="71">
        <v>3000</v>
      </c>
      <c r="G19" s="71">
        <v>382</v>
      </c>
      <c r="H19" s="71">
        <v>325</v>
      </c>
      <c r="I19" s="71">
        <v>36000</v>
      </c>
      <c r="J19" s="71">
        <v>35819</v>
      </c>
      <c r="K19" s="71">
        <v>19</v>
      </c>
      <c r="L19" s="71" t="s">
        <v>59</v>
      </c>
      <c r="M19" s="71" t="s">
        <v>25</v>
      </c>
    </row>
    <row r="20" spans="1:13">
      <c r="A20" s="71" t="s">
        <v>81</v>
      </c>
      <c r="B20" s="71" t="s">
        <v>31</v>
      </c>
      <c r="C20" s="71" t="s">
        <v>82</v>
      </c>
      <c r="D20" s="71" t="s">
        <v>70</v>
      </c>
      <c r="E20" s="71" t="s">
        <v>71</v>
      </c>
      <c r="F20" s="71">
        <v>1071</v>
      </c>
      <c r="G20" s="71">
        <v>519</v>
      </c>
      <c r="H20" s="71">
        <v>22</v>
      </c>
      <c r="I20" s="71">
        <v>16065</v>
      </c>
      <c r="J20" s="71">
        <v>15865</v>
      </c>
      <c r="K20" s="71">
        <v>103</v>
      </c>
      <c r="L20" s="71" t="s">
        <v>83</v>
      </c>
      <c r="M20" s="71" t="s">
        <v>39</v>
      </c>
    </row>
    <row r="21" spans="1:13">
      <c r="A21" s="71" t="s">
        <v>84</v>
      </c>
      <c r="B21" s="71" t="s">
        <v>31</v>
      </c>
      <c r="C21" s="71" t="s">
        <v>85</v>
      </c>
      <c r="D21" s="71" t="s">
        <v>43</v>
      </c>
      <c r="E21" s="71" t="s">
        <v>44</v>
      </c>
      <c r="F21" s="71">
        <v>4054</v>
      </c>
      <c r="G21" s="71">
        <v>488</v>
      </c>
      <c r="H21" s="71">
        <v>373</v>
      </c>
      <c r="I21" s="71">
        <v>77026</v>
      </c>
      <c r="J21" s="71">
        <v>76881</v>
      </c>
      <c r="K21" s="71">
        <v>25</v>
      </c>
      <c r="L21" s="71" t="s">
        <v>29</v>
      </c>
      <c r="M21" s="71" t="s">
        <v>39</v>
      </c>
    </row>
    <row r="22" spans="1:13">
      <c r="A22" s="71" t="s">
        <v>86</v>
      </c>
      <c r="B22" s="71" t="s">
        <v>31</v>
      </c>
      <c r="C22" s="71" t="s">
        <v>87</v>
      </c>
      <c r="D22" s="71" t="s">
        <v>16</v>
      </c>
      <c r="E22" s="71" t="s">
        <v>17</v>
      </c>
      <c r="F22" s="71">
        <v>4838</v>
      </c>
      <c r="G22" s="71">
        <v>640</v>
      </c>
      <c r="H22" s="71">
        <v>128</v>
      </c>
      <c r="I22" s="71">
        <v>72570</v>
      </c>
      <c r="J22" s="71">
        <v>72396</v>
      </c>
      <c r="K22" s="71">
        <v>83</v>
      </c>
      <c r="L22" s="71" t="s">
        <v>88</v>
      </c>
      <c r="M22" s="71" t="s">
        <v>39</v>
      </c>
    </row>
    <row r="23" spans="1:13">
      <c r="A23" s="71" t="s">
        <v>89</v>
      </c>
      <c r="B23" s="71" t="s">
        <v>41</v>
      </c>
      <c r="C23" s="71" t="s">
        <v>90</v>
      </c>
      <c r="D23" s="71" t="s">
        <v>22</v>
      </c>
      <c r="E23" s="71" t="s">
        <v>23</v>
      </c>
      <c r="F23" s="71">
        <v>1570</v>
      </c>
      <c r="G23" s="71">
        <v>187</v>
      </c>
      <c r="H23" s="71">
        <v>260</v>
      </c>
      <c r="I23" s="71">
        <v>25120</v>
      </c>
      <c r="J23" s="71">
        <v>24613</v>
      </c>
      <c r="K23" s="71">
        <v>133</v>
      </c>
      <c r="L23" s="71" t="s">
        <v>18</v>
      </c>
      <c r="M23" s="71" t="s">
        <v>56</v>
      </c>
    </row>
    <row r="24" spans="1:13">
      <c r="A24" s="71" t="s">
        <v>91</v>
      </c>
      <c r="B24" s="71" t="s">
        <v>41</v>
      </c>
      <c r="C24" s="71" t="s">
        <v>92</v>
      </c>
      <c r="D24" s="71" t="s">
        <v>70</v>
      </c>
      <c r="E24" s="71" t="s">
        <v>71</v>
      </c>
      <c r="F24" s="71">
        <v>1606</v>
      </c>
      <c r="G24" s="71">
        <v>547</v>
      </c>
      <c r="H24" s="71">
        <v>316</v>
      </c>
      <c r="I24" s="71">
        <v>32120</v>
      </c>
      <c r="J24" s="71">
        <v>31736</v>
      </c>
      <c r="K24" s="71">
        <v>225</v>
      </c>
      <c r="L24" s="71" t="s">
        <v>18</v>
      </c>
      <c r="M24" s="71" t="s">
        <v>39</v>
      </c>
    </row>
    <row r="25" spans="1:13">
      <c r="A25" s="71" t="s">
        <v>93</v>
      </c>
      <c r="B25" s="71" t="s">
        <v>41</v>
      </c>
      <c r="C25" s="71" t="s">
        <v>94</v>
      </c>
      <c r="D25" s="71" t="s">
        <v>70</v>
      </c>
      <c r="E25" s="71" t="s">
        <v>71</v>
      </c>
      <c r="F25" s="71">
        <v>3961</v>
      </c>
      <c r="G25" s="71">
        <v>761</v>
      </c>
      <c r="H25" s="71">
        <v>131</v>
      </c>
      <c r="I25" s="71">
        <v>67337</v>
      </c>
      <c r="J25" s="71">
        <v>66615</v>
      </c>
      <c r="K25" s="71">
        <v>161</v>
      </c>
      <c r="L25" s="71" t="s">
        <v>45</v>
      </c>
      <c r="M25" s="71" t="s">
        <v>25</v>
      </c>
    </row>
    <row r="26" spans="1:13">
      <c r="A26" s="71" t="s">
        <v>95</v>
      </c>
      <c r="B26" s="71" t="s">
        <v>14</v>
      </c>
      <c r="C26" s="71" t="s">
        <v>96</v>
      </c>
      <c r="D26" s="71" t="s">
        <v>43</v>
      </c>
      <c r="E26" s="71" t="s">
        <v>44</v>
      </c>
      <c r="F26" s="71">
        <v>3128</v>
      </c>
      <c r="G26" s="71">
        <v>211</v>
      </c>
      <c r="H26" s="71">
        <v>197</v>
      </c>
      <c r="I26" s="71">
        <v>59432</v>
      </c>
      <c r="J26" s="71">
        <v>59182</v>
      </c>
      <c r="K26" s="71">
        <v>238</v>
      </c>
      <c r="L26" s="71" t="s">
        <v>62</v>
      </c>
      <c r="M26" s="71" t="s">
        <v>19</v>
      </c>
    </row>
    <row r="27" spans="1:13">
      <c r="A27" s="71" t="s">
        <v>97</v>
      </c>
      <c r="B27" s="71" t="s">
        <v>27</v>
      </c>
      <c r="C27" s="71" t="s">
        <v>98</v>
      </c>
      <c r="D27" s="71" t="s">
        <v>16</v>
      </c>
      <c r="E27" s="71" t="s">
        <v>17</v>
      </c>
      <c r="F27" s="71">
        <v>3009</v>
      </c>
      <c r="G27" s="71">
        <v>413</v>
      </c>
      <c r="H27" s="71">
        <v>358</v>
      </c>
      <c r="I27" s="71">
        <v>42126</v>
      </c>
      <c r="J27" s="71">
        <v>41309</v>
      </c>
      <c r="K27" s="71">
        <v>211</v>
      </c>
      <c r="L27" s="71" t="s">
        <v>18</v>
      </c>
      <c r="M27" s="71" t="s">
        <v>25</v>
      </c>
    </row>
    <row r="28" spans="1:13">
      <c r="A28" s="71" t="s">
        <v>99</v>
      </c>
      <c r="B28" s="71" t="s">
        <v>27</v>
      </c>
      <c r="C28" s="71" t="s">
        <v>100</v>
      </c>
      <c r="D28" s="71" t="s">
        <v>22</v>
      </c>
      <c r="E28" s="71" t="s">
        <v>23</v>
      </c>
      <c r="F28" s="71">
        <v>2076</v>
      </c>
      <c r="G28" s="71">
        <v>195</v>
      </c>
      <c r="H28" s="71">
        <v>104</v>
      </c>
      <c r="I28" s="71">
        <v>33216</v>
      </c>
      <c r="J28" s="71">
        <v>32244</v>
      </c>
      <c r="K28" s="71">
        <v>51</v>
      </c>
      <c r="L28" s="71" t="s">
        <v>45</v>
      </c>
      <c r="M28" s="71" t="s">
        <v>56</v>
      </c>
    </row>
    <row r="29" spans="1:13">
      <c r="A29" s="71" t="s">
        <v>101</v>
      </c>
      <c r="B29" s="71" t="s">
        <v>31</v>
      </c>
      <c r="C29" s="71" t="s">
        <v>102</v>
      </c>
      <c r="D29" s="71" t="s">
        <v>70</v>
      </c>
      <c r="E29" s="71" t="s">
        <v>71</v>
      </c>
      <c r="F29" s="71">
        <v>432</v>
      </c>
      <c r="G29" s="71">
        <v>624</v>
      </c>
      <c r="H29" s="71">
        <v>123</v>
      </c>
      <c r="I29" s="71">
        <v>6912</v>
      </c>
      <c r="J29" s="71">
        <v>6259</v>
      </c>
      <c r="K29" s="71">
        <v>79</v>
      </c>
      <c r="L29" s="71" t="s">
        <v>103</v>
      </c>
      <c r="M29" s="71" t="s">
        <v>25</v>
      </c>
    </row>
    <row r="30" spans="1:13">
      <c r="A30" s="71" t="s">
        <v>104</v>
      </c>
      <c r="B30" s="71" t="s">
        <v>31</v>
      </c>
      <c r="C30" s="71" t="s">
        <v>105</v>
      </c>
      <c r="D30" s="71" t="s">
        <v>43</v>
      </c>
      <c r="E30" s="71" t="s">
        <v>44</v>
      </c>
      <c r="F30" s="71">
        <v>2566</v>
      </c>
      <c r="G30" s="71">
        <v>118</v>
      </c>
      <c r="H30" s="71">
        <v>37</v>
      </c>
      <c r="I30" s="71">
        <v>12830</v>
      </c>
      <c r="J30" s="71">
        <v>12264</v>
      </c>
      <c r="K30" s="71">
        <v>221</v>
      </c>
      <c r="L30" s="71" t="s">
        <v>106</v>
      </c>
      <c r="M30" s="71" t="s">
        <v>39</v>
      </c>
    </row>
    <row r="31" spans="1:13">
      <c r="A31" s="71" t="s">
        <v>107</v>
      </c>
      <c r="B31" s="71" t="s">
        <v>31</v>
      </c>
      <c r="C31" s="71" t="s">
        <v>108</v>
      </c>
      <c r="D31" s="71" t="s">
        <v>70</v>
      </c>
      <c r="E31" s="71" t="s">
        <v>71</v>
      </c>
      <c r="F31" s="71">
        <v>3095</v>
      </c>
      <c r="G31" s="71">
        <v>39</v>
      </c>
      <c r="H31" s="71">
        <v>78</v>
      </c>
      <c r="I31" s="71">
        <v>55710</v>
      </c>
      <c r="J31" s="71">
        <v>54808</v>
      </c>
      <c r="K31" s="71">
        <v>93</v>
      </c>
      <c r="L31" s="71" t="s">
        <v>18</v>
      </c>
      <c r="M31" s="71" t="s">
        <v>56</v>
      </c>
    </row>
    <row r="32" spans="1:13">
      <c r="A32" s="71" t="s">
        <v>109</v>
      </c>
      <c r="B32" s="71" t="s">
        <v>31</v>
      </c>
      <c r="C32" s="71" t="s">
        <v>110</v>
      </c>
      <c r="D32" s="71" t="s">
        <v>22</v>
      </c>
      <c r="E32" s="71" t="s">
        <v>23</v>
      </c>
      <c r="F32" s="71">
        <v>438</v>
      </c>
      <c r="G32" s="71">
        <v>153</v>
      </c>
      <c r="H32" s="71">
        <v>275</v>
      </c>
      <c r="I32" s="71">
        <v>3066</v>
      </c>
      <c r="J32" s="71">
        <v>2701</v>
      </c>
      <c r="K32" s="71">
        <v>282</v>
      </c>
      <c r="L32" s="71" t="s">
        <v>45</v>
      </c>
      <c r="M32" s="71" t="s">
        <v>56</v>
      </c>
    </row>
    <row r="33" spans="1:13">
      <c r="A33" s="71" t="s">
        <v>111</v>
      </c>
      <c r="B33" s="71" t="s">
        <v>14</v>
      </c>
      <c r="C33" s="71" t="s">
        <v>112</v>
      </c>
      <c r="D33" s="71" t="s">
        <v>43</v>
      </c>
      <c r="E33" s="71" t="s">
        <v>44</v>
      </c>
      <c r="F33" s="71">
        <v>2278</v>
      </c>
      <c r="G33" s="71">
        <v>10</v>
      </c>
      <c r="H33" s="71">
        <v>321</v>
      </c>
      <c r="I33" s="71">
        <v>13668</v>
      </c>
      <c r="J33" s="71">
        <v>12676</v>
      </c>
      <c r="K33" s="71">
        <v>275</v>
      </c>
      <c r="L33" s="71" t="s">
        <v>106</v>
      </c>
      <c r="M33" s="71" t="s">
        <v>56</v>
      </c>
    </row>
    <row r="34" spans="1:13">
      <c r="A34" s="71" t="s">
        <v>113</v>
      </c>
      <c r="B34" s="71" t="s">
        <v>41</v>
      </c>
      <c r="C34" s="71" t="s">
        <v>114</v>
      </c>
      <c r="D34" s="71" t="s">
        <v>50</v>
      </c>
      <c r="E34" s="71" t="s">
        <v>51</v>
      </c>
      <c r="F34" s="71">
        <v>1407</v>
      </c>
      <c r="G34" s="71">
        <v>400</v>
      </c>
      <c r="H34" s="71">
        <v>351</v>
      </c>
      <c r="I34" s="71">
        <v>16884</v>
      </c>
      <c r="J34" s="71">
        <v>15954</v>
      </c>
      <c r="K34" s="71">
        <v>113</v>
      </c>
      <c r="L34" s="71" t="s">
        <v>72</v>
      </c>
      <c r="M34" s="71" t="s">
        <v>39</v>
      </c>
    </row>
    <row r="35" spans="1:13">
      <c r="A35" s="71" t="s">
        <v>115</v>
      </c>
      <c r="B35" s="71" t="s">
        <v>41</v>
      </c>
      <c r="C35" s="71" t="s">
        <v>116</v>
      </c>
      <c r="D35" s="71" t="s">
        <v>22</v>
      </c>
      <c r="E35" s="71" t="s">
        <v>23</v>
      </c>
      <c r="F35" s="71">
        <v>1652</v>
      </c>
      <c r="G35" s="71">
        <v>89</v>
      </c>
      <c r="H35" s="71">
        <v>357</v>
      </c>
      <c r="I35" s="71">
        <v>29736</v>
      </c>
      <c r="J35" s="71">
        <v>28771</v>
      </c>
      <c r="K35" s="71">
        <v>215</v>
      </c>
      <c r="L35" s="71" t="s">
        <v>117</v>
      </c>
      <c r="M35" s="71" t="s">
        <v>25</v>
      </c>
    </row>
    <row r="36" spans="1:13">
      <c r="A36" s="71" t="s">
        <v>118</v>
      </c>
      <c r="B36" s="71" t="s">
        <v>31</v>
      </c>
      <c r="C36" s="71" t="s">
        <v>119</v>
      </c>
      <c r="D36" s="71" t="s">
        <v>70</v>
      </c>
      <c r="E36" s="71" t="s">
        <v>71</v>
      </c>
      <c r="F36" s="71">
        <v>3775</v>
      </c>
      <c r="G36" s="71">
        <v>16</v>
      </c>
      <c r="H36" s="71">
        <v>239</v>
      </c>
      <c r="I36" s="71">
        <v>33975</v>
      </c>
      <c r="J36" s="71">
        <v>33310</v>
      </c>
      <c r="K36" s="71">
        <v>271</v>
      </c>
      <c r="L36" s="71" t="s">
        <v>62</v>
      </c>
      <c r="M36" s="71" t="s">
        <v>39</v>
      </c>
    </row>
    <row r="37" spans="1:13">
      <c r="A37" s="71" t="s">
        <v>120</v>
      </c>
      <c r="B37" s="71" t="s">
        <v>31</v>
      </c>
      <c r="C37" s="71" t="s">
        <v>121</v>
      </c>
      <c r="D37" s="71" t="s">
        <v>33</v>
      </c>
      <c r="E37" s="71" t="s">
        <v>34</v>
      </c>
      <c r="F37" s="71">
        <v>4518</v>
      </c>
      <c r="G37" s="71">
        <v>285</v>
      </c>
      <c r="H37" s="71">
        <v>383</v>
      </c>
      <c r="I37" s="71">
        <v>67770</v>
      </c>
      <c r="J37" s="71">
        <v>67621</v>
      </c>
      <c r="K37" s="71">
        <v>31</v>
      </c>
      <c r="L37" s="71" t="s">
        <v>78</v>
      </c>
      <c r="M37" s="71" t="s">
        <v>25</v>
      </c>
    </row>
    <row r="38" spans="1:13">
      <c r="A38" s="71" t="s">
        <v>122</v>
      </c>
      <c r="B38" s="71" t="s">
        <v>41</v>
      </c>
      <c r="C38" s="71" t="s">
        <v>123</v>
      </c>
      <c r="D38" s="71" t="s">
        <v>43</v>
      </c>
      <c r="E38" s="71" t="s">
        <v>44</v>
      </c>
      <c r="F38" s="71">
        <v>3024</v>
      </c>
      <c r="G38" s="71">
        <v>925</v>
      </c>
      <c r="H38" s="71">
        <v>350</v>
      </c>
      <c r="I38" s="71">
        <v>24192</v>
      </c>
      <c r="J38" s="71">
        <v>23518</v>
      </c>
      <c r="K38" s="71">
        <v>36</v>
      </c>
      <c r="L38" s="71" t="s">
        <v>18</v>
      </c>
      <c r="M38" s="71" t="s">
        <v>39</v>
      </c>
    </row>
    <row r="39" spans="1:13">
      <c r="A39" s="71" t="s">
        <v>124</v>
      </c>
      <c r="B39" s="71" t="s">
        <v>27</v>
      </c>
      <c r="C39" s="71" t="s">
        <v>125</v>
      </c>
      <c r="D39" s="71" t="s">
        <v>16</v>
      </c>
      <c r="E39" s="71" t="s">
        <v>17</v>
      </c>
      <c r="F39" s="71">
        <v>3138</v>
      </c>
      <c r="G39" s="71">
        <v>123</v>
      </c>
      <c r="H39" s="71">
        <v>291</v>
      </c>
      <c r="I39" s="71">
        <v>28242</v>
      </c>
      <c r="J39" s="71">
        <v>27550</v>
      </c>
      <c r="K39" s="71">
        <v>87</v>
      </c>
      <c r="L39" s="71" t="s">
        <v>78</v>
      </c>
      <c r="M39" s="71" t="s">
        <v>56</v>
      </c>
    </row>
    <row r="40" spans="1:13">
      <c r="A40" s="71" t="s">
        <v>126</v>
      </c>
      <c r="B40" s="71" t="s">
        <v>41</v>
      </c>
      <c r="C40" s="71" t="s">
        <v>127</v>
      </c>
      <c r="D40" s="71" t="s">
        <v>50</v>
      </c>
      <c r="E40" s="71" t="s">
        <v>51</v>
      </c>
      <c r="F40" s="71">
        <v>3564</v>
      </c>
      <c r="G40" s="71">
        <v>629</v>
      </c>
      <c r="H40" s="71">
        <v>177</v>
      </c>
      <c r="I40" s="71">
        <v>60588</v>
      </c>
      <c r="J40" s="71">
        <v>59627</v>
      </c>
      <c r="K40" s="71">
        <v>92</v>
      </c>
      <c r="L40" s="71" t="s">
        <v>128</v>
      </c>
      <c r="M40" s="71" t="s">
        <v>39</v>
      </c>
    </row>
    <row r="41" spans="1:13">
      <c r="A41" s="71" t="s">
        <v>129</v>
      </c>
      <c r="B41" s="71" t="s">
        <v>14</v>
      </c>
      <c r="C41" s="71" t="s">
        <v>130</v>
      </c>
      <c r="D41" s="71" t="s">
        <v>50</v>
      </c>
      <c r="E41" s="71" t="s">
        <v>51</v>
      </c>
      <c r="F41" s="71">
        <v>4750</v>
      </c>
      <c r="G41" s="71">
        <v>151</v>
      </c>
      <c r="H41" s="71">
        <v>415</v>
      </c>
      <c r="I41" s="71">
        <v>38000</v>
      </c>
      <c r="J41" s="71">
        <v>37792</v>
      </c>
      <c r="K41" s="71">
        <v>299</v>
      </c>
      <c r="L41" s="71" t="s">
        <v>62</v>
      </c>
      <c r="M41" s="71" t="s">
        <v>25</v>
      </c>
    </row>
    <row r="42" spans="1:13">
      <c r="A42" s="71" t="s">
        <v>131</v>
      </c>
      <c r="B42" s="71" t="s">
        <v>31</v>
      </c>
      <c r="C42" s="71" t="s">
        <v>132</v>
      </c>
      <c r="D42" s="71" t="s">
        <v>16</v>
      </c>
      <c r="E42" s="71" t="s">
        <v>17</v>
      </c>
      <c r="F42" s="71">
        <v>456</v>
      </c>
      <c r="G42" s="71">
        <v>629</v>
      </c>
      <c r="H42" s="71">
        <v>428</v>
      </c>
      <c r="I42" s="71">
        <v>8208</v>
      </c>
      <c r="J42" s="71">
        <v>7377</v>
      </c>
      <c r="K42" s="71">
        <v>205</v>
      </c>
      <c r="L42" s="71" t="s">
        <v>75</v>
      </c>
      <c r="M42" s="71" t="s">
        <v>39</v>
      </c>
    </row>
    <row r="43" spans="1:13">
      <c r="A43" s="71" t="s">
        <v>133</v>
      </c>
      <c r="B43" s="71" t="s">
        <v>27</v>
      </c>
      <c r="C43" s="71" t="s">
        <v>134</v>
      </c>
      <c r="D43" s="71" t="s">
        <v>16</v>
      </c>
      <c r="E43" s="71" t="s">
        <v>17</v>
      </c>
      <c r="F43" s="71">
        <v>1543</v>
      </c>
      <c r="G43" s="71">
        <v>820</v>
      </c>
      <c r="H43" s="71">
        <v>333</v>
      </c>
      <c r="I43" s="71">
        <v>12344</v>
      </c>
      <c r="J43" s="71">
        <v>11496</v>
      </c>
      <c r="K43" s="71">
        <v>241</v>
      </c>
      <c r="L43" s="71" t="s">
        <v>59</v>
      </c>
      <c r="M43" s="71" t="s">
        <v>39</v>
      </c>
    </row>
    <row r="44" spans="1:13">
      <c r="A44" s="71" t="s">
        <v>135</v>
      </c>
      <c r="B44" s="71" t="s">
        <v>31</v>
      </c>
      <c r="C44" s="71" t="s">
        <v>136</v>
      </c>
      <c r="D44" s="71" t="s">
        <v>43</v>
      </c>
      <c r="E44" s="71" t="s">
        <v>44</v>
      </c>
      <c r="F44" s="71">
        <v>2174</v>
      </c>
      <c r="G44" s="71">
        <v>658</v>
      </c>
      <c r="H44" s="71">
        <v>15</v>
      </c>
      <c r="I44" s="71">
        <v>13044</v>
      </c>
      <c r="J44" s="71">
        <v>12206</v>
      </c>
      <c r="K44" s="71">
        <v>137</v>
      </c>
      <c r="L44" s="71" t="s">
        <v>67</v>
      </c>
      <c r="M44" s="71" t="s">
        <v>56</v>
      </c>
    </row>
    <row r="45" spans="1:13">
      <c r="A45" s="71" t="s">
        <v>137</v>
      </c>
      <c r="B45" s="71" t="s">
        <v>14</v>
      </c>
      <c r="C45" s="71" t="s">
        <v>138</v>
      </c>
      <c r="D45" s="71" t="s">
        <v>50</v>
      </c>
      <c r="E45" s="71" t="s">
        <v>51</v>
      </c>
      <c r="F45" s="71">
        <v>2358</v>
      </c>
      <c r="G45" s="71">
        <v>784</v>
      </c>
      <c r="H45" s="71">
        <v>344</v>
      </c>
      <c r="I45" s="71">
        <v>35370</v>
      </c>
      <c r="J45" s="71">
        <v>34475</v>
      </c>
      <c r="K45" s="71">
        <v>216</v>
      </c>
      <c r="L45" s="71" t="s">
        <v>83</v>
      </c>
      <c r="M45" s="71" t="s">
        <v>19</v>
      </c>
    </row>
    <row r="46" spans="1:13">
      <c r="A46" s="71" t="s">
        <v>139</v>
      </c>
      <c r="B46" s="71" t="s">
        <v>41</v>
      </c>
      <c r="C46" s="71" t="s">
        <v>140</v>
      </c>
      <c r="D46" s="71" t="s">
        <v>70</v>
      </c>
      <c r="E46" s="71" t="s">
        <v>71</v>
      </c>
      <c r="F46" s="71">
        <v>3371</v>
      </c>
      <c r="G46" s="71">
        <v>106</v>
      </c>
      <c r="H46" s="71">
        <v>327</v>
      </c>
      <c r="I46" s="71">
        <v>50565</v>
      </c>
      <c r="J46" s="71">
        <v>49816</v>
      </c>
      <c r="K46" s="71">
        <v>176</v>
      </c>
      <c r="L46" s="71" t="s">
        <v>78</v>
      </c>
      <c r="M46" s="71" t="s">
        <v>56</v>
      </c>
    </row>
    <row r="47" spans="1:13">
      <c r="A47" s="71" t="s">
        <v>141</v>
      </c>
      <c r="B47" s="71" t="s">
        <v>14</v>
      </c>
      <c r="C47" s="71" t="s">
        <v>142</v>
      </c>
      <c r="D47" s="71" t="s">
        <v>70</v>
      </c>
      <c r="E47" s="71" t="s">
        <v>71</v>
      </c>
      <c r="F47" s="71">
        <v>1108</v>
      </c>
      <c r="G47" s="71">
        <v>177</v>
      </c>
      <c r="H47" s="71">
        <v>212</v>
      </c>
      <c r="I47" s="71">
        <v>8864</v>
      </c>
      <c r="J47" s="71">
        <v>8710</v>
      </c>
      <c r="K47" s="71">
        <v>97</v>
      </c>
      <c r="L47" s="71" t="s">
        <v>24</v>
      </c>
      <c r="M47" s="71" t="s">
        <v>56</v>
      </c>
    </row>
    <row r="48" spans="1:13">
      <c r="A48" s="71" t="s">
        <v>143</v>
      </c>
      <c r="B48" s="71" t="s">
        <v>14</v>
      </c>
      <c r="C48" s="71" t="s">
        <v>144</v>
      </c>
      <c r="D48" s="71" t="s">
        <v>43</v>
      </c>
      <c r="E48" s="71" t="s">
        <v>44</v>
      </c>
      <c r="F48" s="71">
        <v>2704</v>
      </c>
      <c r="G48" s="71">
        <v>752</v>
      </c>
      <c r="H48" s="71">
        <v>153</v>
      </c>
      <c r="I48" s="71">
        <v>21632</v>
      </c>
      <c r="J48" s="71">
        <v>20792</v>
      </c>
      <c r="K48" s="71">
        <v>127</v>
      </c>
      <c r="L48" s="71" t="s">
        <v>145</v>
      </c>
      <c r="M48" s="71" t="s">
        <v>19</v>
      </c>
    </row>
    <row r="49" spans="1:13">
      <c r="A49" s="71" t="s">
        <v>146</v>
      </c>
      <c r="B49" s="71" t="s">
        <v>14</v>
      </c>
      <c r="C49" s="71" t="s">
        <v>55</v>
      </c>
      <c r="D49" s="71" t="s">
        <v>33</v>
      </c>
      <c r="E49" s="71" t="s">
        <v>34</v>
      </c>
      <c r="F49" s="71">
        <v>1950</v>
      </c>
      <c r="G49" s="71">
        <v>295</v>
      </c>
      <c r="H49" s="71">
        <v>478</v>
      </c>
      <c r="I49" s="71">
        <v>37050</v>
      </c>
      <c r="J49" s="71">
        <v>36272</v>
      </c>
      <c r="K49" s="71">
        <v>119</v>
      </c>
      <c r="L49" s="71" t="s">
        <v>147</v>
      </c>
      <c r="M49" s="71" t="s">
        <v>56</v>
      </c>
    </row>
    <row r="50" spans="1:13">
      <c r="A50" s="71" t="s">
        <v>148</v>
      </c>
      <c r="B50" s="71" t="s">
        <v>14</v>
      </c>
      <c r="C50" s="71" t="s">
        <v>149</v>
      </c>
      <c r="D50" s="71" t="s">
        <v>33</v>
      </c>
      <c r="E50" s="71" t="s">
        <v>34</v>
      </c>
      <c r="F50" s="71">
        <v>2164</v>
      </c>
      <c r="G50" s="71">
        <v>549</v>
      </c>
      <c r="H50" s="71">
        <v>274</v>
      </c>
      <c r="I50" s="71">
        <v>28132</v>
      </c>
      <c r="J50" s="71">
        <v>27361</v>
      </c>
      <c r="K50" s="71">
        <v>177</v>
      </c>
      <c r="L50" s="71" t="s">
        <v>59</v>
      </c>
      <c r="M50" s="71" t="s">
        <v>19</v>
      </c>
    </row>
    <row r="51" spans="1:13">
      <c r="A51" s="71" t="s">
        <v>150</v>
      </c>
      <c r="B51" s="71" t="s">
        <v>27</v>
      </c>
      <c r="C51" s="71" t="s">
        <v>151</v>
      </c>
      <c r="D51" s="71" t="s">
        <v>33</v>
      </c>
      <c r="E51" s="71" t="s">
        <v>34</v>
      </c>
      <c r="F51" s="71">
        <v>2754</v>
      </c>
      <c r="G51" s="71">
        <v>130</v>
      </c>
      <c r="H51" s="71">
        <v>90</v>
      </c>
      <c r="I51" s="71">
        <v>22032</v>
      </c>
      <c r="J51" s="71">
        <v>21288</v>
      </c>
      <c r="K51" s="71">
        <v>112</v>
      </c>
      <c r="L51" s="71" t="s">
        <v>24</v>
      </c>
      <c r="M51" s="71" t="s">
        <v>19</v>
      </c>
    </row>
    <row r="52" spans="1:13">
      <c r="A52" s="71" t="s">
        <v>152</v>
      </c>
      <c r="B52" s="71" t="s">
        <v>41</v>
      </c>
      <c r="C52" s="71" t="s">
        <v>153</v>
      </c>
      <c r="D52" s="71" t="s">
        <v>43</v>
      </c>
      <c r="E52" s="71" t="s">
        <v>44</v>
      </c>
      <c r="F52" s="71">
        <v>2200</v>
      </c>
      <c r="G52" s="71">
        <v>504</v>
      </c>
      <c r="H52" s="71">
        <v>239</v>
      </c>
      <c r="I52" s="71">
        <v>37400</v>
      </c>
      <c r="J52" s="71">
        <v>36938</v>
      </c>
      <c r="K52" s="71">
        <v>225</v>
      </c>
      <c r="L52" s="71" t="s">
        <v>18</v>
      </c>
      <c r="M52" s="71" t="s">
        <v>39</v>
      </c>
    </row>
    <row r="53" spans="1:13">
      <c r="A53" s="71" t="s">
        <v>154</v>
      </c>
      <c r="B53" s="71" t="s">
        <v>41</v>
      </c>
      <c r="C53" s="71" t="s">
        <v>155</v>
      </c>
      <c r="D53" s="71" t="s">
        <v>50</v>
      </c>
      <c r="E53" s="71" t="s">
        <v>51</v>
      </c>
      <c r="F53" s="71">
        <v>947</v>
      </c>
      <c r="G53" s="71">
        <v>338</v>
      </c>
      <c r="H53" s="71">
        <v>350</v>
      </c>
      <c r="I53" s="71">
        <v>10417</v>
      </c>
      <c r="J53" s="71">
        <v>9730</v>
      </c>
      <c r="K53" s="71">
        <v>34</v>
      </c>
      <c r="L53" s="71" t="s">
        <v>29</v>
      </c>
      <c r="M53" s="71" t="s">
        <v>39</v>
      </c>
    </row>
    <row r="54" spans="1:13">
      <c r="A54" s="71" t="s">
        <v>156</v>
      </c>
      <c r="B54" s="71" t="s">
        <v>27</v>
      </c>
      <c r="C54" s="71" t="s">
        <v>144</v>
      </c>
      <c r="D54" s="71" t="s">
        <v>43</v>
      </c>
      <c r="E54" s="71" t="s">
        <v>44</v>
      </c>
      <c r="F54" s="71">
        <v>804</v>
      </c>
      <c r="G54" s="71">
        <v>639</v>
      </c>
      <c r="H54" s="71">
        <v>43</v>
      </c>
      <c r="I54" s="71">
        <v>4020</v>
      </c>
      <c r="J54" s="71">
        <v>3144</v>
      </c>
      <c r="K54" s="71">
        <v>11</v>
      </c>
      <c r="L54" s="71" t="s">
        <v>88</v>
      </c>
      <c r="M54" s="71" t="s">
        <v>56</v>
      </c>
    </row>
    <row r="55" spans="1:13">
      <c r="A55" s="71" t="s">
        <v>157</v>
      </c>
      <c r="B55" s="71" t="s">
        <v>27</v>
      </c>
      <c r="C55" s="71" t="s">
        <v>158</v>
      </c>
      <c r="D55" s="71" t="s">
        <v>43</v>
      </c>
      <c r="E55" s="71" t="s">
        <v>44</v>
      </c>
      <c r="F55" s="71">
        <v>1686</v>
      </c>
      <c r="G55" s="71">
        <v>904</v>
      </c>
      <c r="H55" s="71">
        <v>472</v>
      </c>
      <c r="I55" s="71">
        <v>18546</v>
      </c>
      <c r="J55" s="71">
        <v>18171</v>
      </c>
      <c r="K55" s="71">
        <v>52</v>
      </c>
      <c r="L55" s="71" t="s">
        <v>72</v>
      </c>
      <c r="M55" s="71" t="s">
        <v>25</v>
      </c>
    </row>
    <row r="56" spans="1:13">
      <c r="A56" s="71" t="s">
        <v>159</v>
      </c>
      <c r="B56" s="71" t="s">
        <v>41</v>
      </c>
      <c r="C56" s="71" t="s">
        <v>160</v>
      </c>
      <c r="D56" s="71" t="s">
        <v>50</v>
      </c>
      <c r="E56" s="71" t="s">
        <v>51</v>
      </c>
      <c r="F56" s="71">
        <v>1226</v>
      </c>
      <c r="G56" s="71">
        <v>119</v>
      </c>
      <c r="H56" s="71">
        <v>7</v>
      </c>
      <c r="I56" s="71">
        <v>14712</v>
      </c>
      <c r="J56" s="71">
        <v>14049</v>
      </c>
      <c r="K56" s="71">
        <v>123</v>
      </c>
      <c r="L56" s="71" t="s">
        <v>103</v>
      </c>
      <c r="M56" s="71" t="s">
        <v>56</v>
      </c>
    </row>
    <row r="57" spans="1:13">
      <c r="A57" s="71" t="s">
        <v>161</v>
      </c>
      <c r="B57" s="71" t="s">
        <v>41</v>
      </c>
      <c r="C57" s="71" t="s">
        <v>162</v>
      </c>
      <c r="D57" s="71" t="s">
        <v>43</v>
      </c>
      <c r="E57" s="71" t="s">
        <v>44</v>
      </c>
      <c r="F57" s="71">
        <v>2946</v>
      </c>
      <c r="G57" s="71">
        <v>498</v>
      </c>
      <c r="H57" s="71">
        <v>367</v>
      </c>
      <c r="I57" s="71">
        <v>29460</v>
      </c>
      <c r="J57" s="71">
        <v>28527</v>
      </c>
      <c r="K57" s="71">
        <v>60</v>
      </c>
      <c r="L57" s="71" t="s">
        <v>163</v>
      </c>
      <c r="M57" s="71" t="s">
        <v>25</v>
      </c>
    </row>
    <row r="58" spans="1:13">
      <c r="A58" s="71" t="s">
        <v>164</v>
      </c>
      <c r="B58" s="71" t="s">
        <v>14</v>
      </c>
      <c r="C58" s="71" t="s">
        <v>165</v>
      </c>
      <c r="D58" s="71" t="s">
        <v>70</v>
      </c>
      <c r="E58" s="71" t="s">
        <v>71</v>
      </c>
      <c r="F58" s="71">
        <v>2825</v>
      </c>
      <c r="G58" s="71">
        <v>535</v>
      </c>
      <c r="H58" s="71">
        <v>295</v>
      </c>
      <c r="I58" s="71">
        <v>45200</v>
      </c>
      <c r="J58" s="71">
        <v>44739</v>
      </c>
      <c r="K58" s="71">
        <v>169</v>
      </c>
      <c r="L58" s="71" t="s">
        <v>59</v>
      </c>
      <c r="M58" s="71" t="s">
        <v>25</v>
      </c>
    </row>
    <row r="59" spans="1:13">
      <c r="A59" s="71" t="s">
        <v>166</v>
      </c>
      <c r="B59" s="71" t="s">
        <v>31</v>
      </c>
      <c r="C59" s="71" t="s">
        <v>167</v>
      </c>
      <c r="D59" s="71" t="s">
        <v>16</v>
      </c>
      <c r="E59" s="71" t="s">
        <v>17</v>
      </c>
      <c r="F59" s="71">
        <v>103</v>
      </c>
      <c r="G59" s="71">
        <v>770</v>
      </c>
      <c r="H59" s="71">
        <v>19</v>
      </c>
      <c r="I59" s="71">
        <v>1030</v>
      </c>
      <c r="J59" s="71">
        <v>410</v>
      </c>
      <c r="K59" s="71">
        <v>262</v>
      </c>
      <c r="L59" s="71" t="s">
        <v>18</v>
      </c>
      <c r="M59" s="71" t="s">
        <v>39</v>
      </c>
    </row>
    <row r="60" spans="1:13">
      <c r="A60" s="71" t="s">
        <v>168</v>
      </c>
      <c r="B60" s="71" t="s">
        <v>31</v>
      </c>
      <c r="C60" s="71" t="s">
        <v>169</v>
      </c>
      <c r="D60" s="71" t="s">
        <v>22</v>
      </c>
      <c r="E60" s="71" t="s">
        <v>23</v>
      </c>
      <c r="F60" s="71">
        <v>2180</v>
      </c>
      <c r="G60" s="71">
        <v>263</v>
      </c>
      <c r="H60" s="71">
        <v>387</v>
      </c>
      <c r="I60" s="71">
        <v>30520</v>
      </c>
      <c r="J60" s="71">
        <v>30059</v>
      </c>
      <c r="K60" s="71">
        <v>174</v>
      </c>
      <c r="L60" s="71" t="s">
        <v>78</v>
      </c>
      <c r="M60" s="71" t="s">
        <v>19</v>
      </c>
    </row>
    <row r="61" spans="1:13">
      <c r="A61" s="71" t="s">
        <v>170</v>
      </c>
      <c r="B61" s="71" t="s">
        <v>31</v>
      </c>
      <c r="C61" s="71" t="s">
        <v>171</v>
      </c>
      <c r="D61" s="71" t="s">
        <v>70</v>
      </c>
      <c r="E61" s="71" t="s">
        <v>71</v>
      </c>
      <c r="F61" s="71">
        <v>904</v>
      </c>
      <c r="G61" s="71">
        <v>973</v>
      </c>
      <c r="H61" s="71">
        <v>63</v>
      </c>
      <c r="I61" s="71">
        <v>11752</v>
      </c>
      <c r="J61" s="71">
        <v>11580</v>
      </c>
      <c r="K61" s="71">
        <v>84</v>
      </c>
      <c r="L61" s="71" t="s">
        <v>59</v>
      </c>
      <c r="M61" s="71" t="s">
        <v>19</v>
      </c>
    </row>
    <row r="62" spans="1:13">
      <c r="A62" s="71" t="s">
        <v>172</v>
      </c>
      <c r="B62" s="71" t="s">
        <v>14</v>
      </c>
      <c r="C62" s="71" t="s">
        <v>173</v>
      </c>
      <c r="D62" s="71" t="s">
        <v>70</v>
      </c>
      <c r="E62" s="71" t="s">
        <v>71</v>
      </c>
      <c r="F62" s="71">
        <v>4886</v>
      </c>
      <c r="G62" s="71">
        <v>983</v>
      </c>
      <c r="H62" s="71">
        <v>409</v>
      </c>
      <c r="I62" s="71">
        <v>43974</v>
      </c>
      <c r="J62" s="71">
        <v>43239</v>
      </c>
      <c r="K62" s="71">
        <v>65</v>
      </c>
      <c r="L62" s="71" t="s">
        <v>24</v>
      </c>
      <c r="M62" s="71" t="s">
        <v>19</v>
      </c>
    </row>
    <row r="63" spans="1:13">
      <c r="A63" s="71" t="s">
        <v>174</v>
      </c>
      <c r="B63" s="71" t="s">
        <v>14</v>
      </c>
      <c r="C63" s="71" t="s">
        <v>175</v>
      </c>
      <c r="D63" s="71" t="s">
        <v>43</v>
      </c>
      <c r="E63" s="71" t="s">
        <v>44</v>
      </c>
      <c r="F63" s="71">
        <v>53</v>
      </c>
      <c r="G63" s="71">
        <v>81</v>
      </c>
      <c r="H63" s="71">
        <v>379</v>
      </c>
      <c r="I63" s="71">
        <v>954</v>
      </c>
      <c r="J63" s="71">
        <v>7</v>
      </c>
      <c r="K63" s="71">
        <v>148</v>
      </c>
      <c r="L63" s="71" t="s">
        <v>78</v>
      </c>
      <c r="M63" s="71" t="s">
        <v>39</v>
      </c>
    </row>
    <row r="64" spans="1:13">
      <c r="A64" s="71" t="s">
        <v>176</v>
      </c>
      <c r="B64" s="71" t="s">
        <v>14</v>
      </c>
      <c r="C64" s="71" t="s">
        <v>112</v>
      </c>
      <c r="D64" s="71" t="s">
        <v>43</v>
      </c>
      <c r="E64" s="71" t="s">
        <v>44</v>
      </c>
      <c r="F64" s="71">
        <v>4507</v>
      </c>
      <c r="G64" s="71">
        <v>217</v>
      </c>
      <c r="H64" s="71">
        <v>13</v>
      </c>
      <c r="I64" s="71">
        <v>90140</v>
      </c>
      <c r="J64" s="71">
        <v>89591</v>
      </c>
      <c r="K64" s="71">
        <v>125</v>
      </c>
      <c r="L64" s="71" t="s">
        <v>18</v>
      </c>
      <c r="M64" s="71" t="s">
        <v>19</v>
      </c>
    </row>
    <row r="65" spans="1:13">
      <c r="A65" s="71" t="s">
        <v>177</v>
      </c>
      <c r="B65" s="71" t="s">
        <v>41</v>
      </c>
      <c r="C65" s="71" t="s">
        <v>178</v>
      </c>
      <c r="D65" s="71" t="s">
        <v>50</v>
      </c>
      <c r="E65" s="71" t="s">
        <v>51</v>
      </c>
      <c r="F65" s="71">
        <v>2878</v>
      </c>
      <c r="G65" s="71">
        <v>248</v>
      </c>
      <c r="H65" s="71">
        <v>416</v>
      </c>
      <c r="I65" s="71">
        <v>43170</v>
      </c>
      <c r="J65" s="71">
        <v>42667</v>
      </c>
      <c r="K65" s="71">
        <v>75</v>
      </c>
      <c r="L65" s="71" t="s">
        <v>179</v>
      </c>
      <c r="M65" s="71" t="s">
        <v>25</v>
      </c>
    </row>
    <row r="66" spans="1:13">
      <c r="A66" s="71" t="s">
        <v>180</v>
      </c>
      <c r="B66" s="71" t="s">
        <v>31</v>
      </c>
      <c r="C66" s="71" t="s">
        <v>181</v>
      </c>
      <c r="D66" s="71" t="s">
        <v>33</v>
      </c>
      <c r="E66" s="71" t="s">
        <v>34</v>
      </c>
      <c r="F66" s="71">
        <v>1881</v>
      </c>
      <c r="G66" s="71">
        <v>501</v>
      </c>
      <c r="H66" s="71">
        <v>99</v>
      </c>
      <c r="I66" s="71">
        <v>20691</v>
      </c>
      <c r="J66" s="71">
        <v>19987</v>
      </c>
      <c r="K66" s="71">
        <v>289</v>
      </c>
      <c r="L66" s="71" t="s">
        <v>78</v>
      </c>
      <c r="M66" s="71" t="s">
        <v>25</v>
      </c>
    </row>
    <row r="67" spans="1:13">
      <c r="A67" s="71" t="s">
        <v>182</v>
      </c>
      <c r="B67" s="71" t="s">
        <v>14</v>
      </c>
      <c r="C67" s="71" t="s">
        <v>183</v>
      </c>
      <c r="D67" s="71" t="s">
        <v>43</v>
      </c>
      <c r="E67" s="71" t="s">
        <v>44</v>
      </c>
      <c r="F67" s="71">
        <v>432</v>
      </c>
      <c r="G67" s="71">
        <v>171</v>
      </c>
      <c r="H67" s="71">
        <v>280</v>
      </c>
      <c r="I67" s="71">
        <v>3024</v>
      </c>
      <c r="J67" s="71">
        <v>2285</v>
      </c>
      <c r="K67" s="71">
        <v>184</v>
      </c>
      <c r="L67" s="71" t="s">
        <v>24</v>
      </c>
      <c r="M67" s="71" t="s">
        <v>39</v>
      </c>
    </row>
    <row r="68" spans="1:13">
      <c r="A68" s="71" t="s">
        <v>184</v>
      </c>
      <c r="B68" s="71" t="s">
        <v>41</v>
      </c>
      <c r="C68" s="71" t="s">
        <v>185</v>
      </c>
      <c r="D68" s="71" t="s">
        <v>43</v>
      </c>
      <c r="E68" s="71" t="s">
        <v>44</v>
      </c>
      <c r="F68" s="71">
        <v>4712</v>
      </c>
      <c r="G68" s="71">
        <v>568</v>
      </c>
      <c r="H68" s="71">
        <v>127</v>
      </c>
      <c r="I68" s="71">
        <v>84816</v>
      </c>
      <c r="J68" s="71">
        <v>84691</v>
      </c>
      <c r="K68" s="71">
        <v>100</v>
      </c>
      <c r="L68" s="71" t="s">
        <v>78</v>
      </c>
      <c r="M68" s="71" t="s">
        <v>19</v>
      </c>
    </row>
    <row r="69" spans="1:13">
      <c r="A69" s="71" t="s">
        <v>186</v>
      </c>
      <c r="B69" s="71" t="s">
        <v>31</v>
      </c>
      <c r="C69" s="71" t="s">
        <v>187</v>
      </c>
      <c r="D69" s="71" t="s">
        <v>33</v>
      </c>
      <c r="E69" s="71" t="s">
        <v>34</v>
      </c>
      <c r="F69" s="71">
        <v>2610</v>
      </c>
      <c r="G69" s="71">
        <v>126</v>
      </c>
      <c r="H69" s="71">
        <v>288</v>
      </c>
      <c r="I69" s="71">
        <v>15660</v>
      </c>
      <c r="J69" s="71">
        <v>15145</v>
      </c>
      <c r="K69" s="71">
        <v>73</v>
      </c>
      <c r="L69" s="71" t="s">
        <v>24</v>
      </c>
      <c r="M69" s="71" t="s">
        <v>19</v>
      </c>
    </row>
    <row r="70" spans="1:13">
      <c r="A70" s="71" t="s">
        <v>188</v>
      </c>
      <c r="B70" s="71" t="s">
        <v>14</v>
      </c>
      <c r="C70" s="71" t="s">
        <v>132</v>
      </c>
      <c r="D70" s="71" t="s">
        <v>22</v>
      </c>
      <c r="E70" s="71" t="s">
        <v>23</v>
      </c>
      <c r="F70" s="71">
        <v>1292</v>
      </c>
      <c r="G70" s="71">
        <v>626</v>
      </c>
      <c r="H70" s="71">
        <v>496</v>
      </c>
      <c r="I70" s="71">
        <v>25840</v>
      </c>
      <c r="J70" s="71">
        <v>24916</v>
      </c>
      <c r="K70" s="71">
        <v>149</v>
      </c>
      <c r="L70" s="71" t="s">
        <v>88</v>
      </c>
      <c r="M70" s="71" t="s">
        <v>56</v>
      </c>
    </row>
    <row r="71" spans="1:13">
      <c r="A71" s="71" t="s">
        <v>189</v>
      </c>
      <c r="B71" s="71" t="s">
        <v>41</v>
      </c>
      <c r="C71" s="71" t="s">
        <v>190</v>
      </c>
      <c r="D71" s="71" t="s">
        <v>70</v>
      </c>
      <c r="E71" s="71" t="s">
        <v>71</v>
      </c>
      <c r="F71" s="71">
        <v>199</v>
      </c>
      <c r="G71" s="71">
        <v>772</v>
      </c>
      <c r="H71" s="71">
        <v>400</v>
      </c>
      <c r="I71" s="71">
        <v>3582</v>
      </c>
      <c r="J71" s="71">
        <v>2988</v>
      </c>
      <c r="K71" s="71">
        <v>43</v>
      </c>
      <c r="L71" s="71" t="s">
        <v>45</v>
      </c>
      <c r="M71" s="71" t="s">
        <v>19</v>
      </c>
    </row>
    <row r="72" spans="1:13">
      <c r="A72" s="71" t="s">
        <v>191</v>
      </c>
      <c r="B72" s="71" t="s">
        <v>27</v>
      </c>
      <c r="C72" s="71" t="s">
        <v>192</v>
      </c>
      <c r="D72" s="71" t="s">
        <v>43</v>
      </c>
      <c r="E72" s="71" t="s">
        <v>44</v>
      </c>
      <c r="F72" s="71">
        <v>2551</v>
      </c>
      <c r="G72" s="71">
        <v>915</v>
      </c>
      <c r="H72" s="71">
        <v>205</v>
      </c>
      <c r="I72" s="71">
        <v>30612</v>
      </c>
      <c r="J72" s="71">
        <v>30360</v>
      </c>
      <c r="K72" s="71">
        <v>227</v>
      </c>
      <c r="L72" s="71" t="s">
        <v>75</v>
      </c>
      <c r="M72" s="71" t="s">
        <v>25</v>
      </c>
    </row>
    <row r="73" spans="1:13">
      <c r="A73" s="71" t="s">
        <v>193</v>
      </c>
      <c r="B73" s="71" t="s">
        <v>27</v>
      </c>
      <c r="C73" s="71" t="s">
        <v>194</v>
      </c>
      <c r="D73" s="71" t="s">
        <v>16</v>
      </c>
      <c r="E73" s="71" t="s">
        <v>17</v>
      </c>
      <c r="F73" s="71">
        <v>296</v>
      </c>
      <c r="G73" s="71">
        <v>60</v>
      </c>
      <c r="H73" s="71">
        <v>141</v>
      </c>
      <c r="I73" s="71">
        <v>5624</v>
      </c>
      <c r="J73" s="71">
        <v>5239</v>
      </c>
      <c r="K73" s="71">
        <v>88</v>
      </c>
      <c r="L73" s="71" t="s">
        <v>45</v>
      </c>
      <c r="M73" s="71" t="s">
        <v>56</v>
      </c>
    </row>
    <row r="74" spans="1:13">
      <c r="A74" s="71" t="s">
        <v>195</v>
      </c>
      <c r="B74" s="71" t="s">
        <v>41</v>
      </c>
      <c r="C74" s="71" t="s">
        <v>196</v>
      </c>
      <c r="D74" s="71" t="s">
        <v>33</v>
      </c>
      <c r="E74" s="71" t="s">
        <v>34</v>
      </c>
      <c r="F74" s="71">
        <v>4126</v>
      </c>
      <c r="G74" s="71">
        <v>426</v>
      </c>
      <c r="H74" s="71">
        <v>486</v>
      </c>
      <c r="I74" s="71">
        <v>78394</v>
      </c>
      <c r="J74" s="71">
        <v>77798</v>
      </c>
      <c r="K74" s="71">
        <v>88</v>
      </c>
      <c r="L74" s="71" t="s">
        <v>24</v>
      </c>
      <c r="M74" s="71" t="s">
        <v>19</v>
      </c>
    </row>
    <row r="75" spans="1:13">
      <c r="A75" s="71" t="s">
        <v>197</v>
      </c>
      <c r="B75" s="71" t="s">
        <v>27</v>
      </c>
      <c r="C75" s="71" t="s">
        <v>198</v>
      </c>
      <c r="D75" s="71" t="s">
        <v>16</v>
      </c>
      <c r="E75" s="71" t="s">
        <v>17</v>
      </c>
      <c r="F75" s="71">
        <v>1855</v>
      </c>
      <c r="G75" s="71">
        <v>200</v>
      </c>
      <c r="H75" s="71">
        <v>174</v>
      </c>
      <c r="I75" s="71">
        <v>16695</v>
      </c>
      <c r="J75" s="71">
        <v>16330</v>
      </c>
      <c r="K75" s="71">
        <v>123</v>
      </c>
      <c r="L75" s="71" t="s">
        <v>24</v>
      </c>
      <c r="M75" s="71" t="s">
        <v>39</v>
      </c>
    </row>
    <row r="76" spans="1:13">
      <c r="A76" s="71" t="s">
        <v>199</v>
      </c>
      <c r="B76" s="71" t="s">
        <v>31</v>
      </c>
      <c r="C76" s="71" t="s">
        <v>200</v>
      </c>
      <c r="D76" s="71" t="s">
        <v>16</v>
      </c>
      <c r="E76" s="71" t="s">
        <v>17</v>
      </c>
      <c r="F76" s="71">
        <v>1674</v>
      </c>
      <c r="G76" s="71">
        <v>929</v>
      </c>
      <c r="H76" s="71">
        <v>37</v>
      </c>
      <c r="I76" s="71">
        <v>21762</v>
      </c>
      <c r="J76" s="71">
        <v>20998</v>
      </c>
      <c r="K76" s="71">
        <v>255</v>
      </c>
      <c r="L76" s="71" t="s">
        <v>163</v>
      </c>
      <c r="M76" s="71" t="s">
        <v>39</v>
      </c>
    </row>
    <row r="77" spans="1:13">
      <c r="A77" s="71" t="s">
        <v>201</v>
      </c>
      <c r="B77" s="71" t="s">
        <v>14</v>
      </c>
      <c r="C77" s="71" t="s">
        <v>202</v>
      </c>
      <c r="D77" s="71" t="s">
        <v>33</v>
      </c>
      <c r="E77" s="71" t="s">
        <v>34</v>
      </c>
      <c r="F77" s="71">
        <v>1121</v>
      </c>
      <c r="G77" s="71">
        <v>135</v>
      </c>
      <c r="H77" s="71">
        <v>18</v>
      </c>
      <c r="I77" s="71">
        <v>15694</v>
      </c>
      <c r="J77" s="71">
        <v>14957</v>
      </c>
      <c r="K77" s="71">
        <v>99</v>
      </c>
      <c r="L77" s="71" t="s">
        <v>67</v>
      </c>
      <c r="M77" s="71" t="s">
        <v>56</v>
      </c>
    </row>
    <row r="78" spans="1:13">
      <c r="A78" s="71" t="s">
        <v>203</v>
      </c>
      <c r="B78" s="71" t="s">
        <v>41</v>
      </c>
      <c r="C78" s="71" t="s">
        <v>102</v>
      </c>
      <c r="D78" s="71" t="s">
        <v>33</v>
      </c>
      <c r="E78" s="71" t="s">
        <v>34</v>
      </c>
      <c r="F78" s="71">
        <v>1249</v>
      </c>
      <c r="G78" s="71">
        <v>116</v>
      </c>
      <c r="H78" s="71">
        <v>420</v>
      </c>
      <c r="I78" s="71">
        <v>8743</v>
      </c>
      <c r="J78" s="71">
        <v>8538</v>
      </c>
      <c r="K78" s="71">
        <v>63</v>
      </c>
      <c r="L78" s="71" t="s">
        <v>72</v>
      </c>
      <c r="M78" s="71" t="s">
        <v>39</v>
      </c>
    </row>
    <row r="79" spans="1:13">
      <c r="A79" s="71" t="s">
        <v>204</v>
      </c>
      <c r="B79" s="71" t="s">
        <v>14</v>
      </c>
      <c r="C79" s="71" t="s">
        <v>160</v>
      </c>
      <c r="D79" s="71" t="s">
        <v>50</v>
      </c>
      <c r="E79" s="71" t="s">
        <v>51</v>
      </c>
      <c r="F79" s="71">
        <v>954</v>
      </c>
      <c r="G79" s="71">
        <v>324</v>
      </c>
      <c r="H79" s="71">
        <v>288</v>
      </c>
      <c r="I79" s="71">
        <v>19080</v>
      </c>
      <c r="J79" s="71">
        <v>18859</v>
      </c>
      <c r="K79" s="71">
        <v>21</v>
      </c>
      <c r="L79" s="71" t="s">
        <v>45</v>
      </c>
      <c r="M79" s="71" t="s">
        <v>39</v>
      </c>
    </row>
    <row r="80" spans="1:13">
      <c r="A80" s="71" t="s">
        <v>205</v>
      </c>
      <c r="B80" s="71" t="s">
        <v>31</v>
      </c>
      <c r="C80" s="71" t="s">
        <v>206</v>
      </c>
      <c r="D80" s="71" t="s">
        <v>43</v>
      </c>
      <c r="E80" s="71" t="s">
        <v>44</v>
      </c>
      <c r="F80" s="71">
        <v>3068</v>
      </c>
      <c r="G80" s="71">
        <v>137</v>
      </c>
      <c r="H80" s="71">
        <v>329</v>
      </c>
      <c r="I80" s="71">
        <v>39884</v>
      </c>
      <c r="J80" s="71">
        <v>39404</v>
      </c>
      <c r="K80" s="71">
        <v>266</v>
      </c>
      <c r="L80" s="71" t="s">
        <v>103</v>
      </c>
      <c r="M80" s="71" t="s">
        <v>39</v>
      </c>
    </row>
    <row r="81" spans="1:13">
      <c r="A81" s="71" t="s">
        <v>207</v>
      </c>
      <c r="B81" s="71" t="s">
        <v>31</v>
      </c>
      <c r="C81" s="71" t="s">
        <v>153</v>
      </c>
      <c r="D81" s="71" t="s">
        <v>33</v>
      </c>
      <c r="E81" s="71" t="s">
        <v>34</v>
      </c>
      <c r="F81" s="71">
        <v>2103</v>
      </c>
      <c r="G81" s="71">
        <v>892</v>
      </c>
      <c r="H81" s="71">
        <v>103</v>
      </c>
      <c r="I81" s="71">
        <v>39957</v>
      </c>
      <c r="J81" s="71">
        <v>39466</v>
      </c>
      <c r="K81" s="71">
        <v>28</v>
      </c>
      <c r="L81" s="71" t="s">
        <v>145</v>
      </c>
      <c r="M81" s="71" t="s">
        <v>25</v>
      </c>
    </row>
    <row r="82" spans="1:13">
      <c r="A82" s="71" t="s">
        <v>208</v>
      </c>
      <c r="B82" s="71" t="s">
        <v>31</v>
      </c>
      <c r="C82" s="71" t="s">
        <v>209</v>
      </c>
      <c r="D82" s="71" t="s">
        <v>33</v>
      </c>
      <c r="E82" s="71" t="s">
        <v>34</v>
      </c>
      <c r="F82" s="71">
        <v>1816</v>
      </c>
      <c r="G82" s="71">
        <v>29</v>
      </c>
      <c r="H82" s="71">
        <v>41</v>
      </c>
      <c r="I82" s="71">
        <v>19976</v>
      </c>
      <c r="J82" s="71">
        <v>19262</v>
      </c>
      <c r="K82" s="71">
        <v>283</v>
      </c>
      <c r="L82" s="71" t="s">
        <v>210</v>
      </c>
      <c r="M82" s="71" t="s">
        <v>39</v>
      </c>
    </row>
    <row r="83" spans="1:13">
      <c r="A83" s="71" t="s">
        <v>211</v>
      </c>
      <c r="B83" s="71" t="s">
        <v>31</v>
      </c>
      <c r="C83" s="71" t="s">
        <v>212</v>
      </c>
      <c r="D83" s="71" t="s">
        <v>50</v>
      </c>
      <c r="E83" s="71" t="s">
        <v>51</v>
      </c>
      <c r="F83" s="71">
        <v>725</v>
      </c>
      <c r="G83" s="71">
        <v>88</v>
      </c>
      <c r="H83" s="71">
        <v>428</v>
      </c>
      <c r="I83" s="71">
        <v>14500</v>
      </c>
      <c r="J83" s="71">
        <v>13637</v>
      </c>
      <c r="K83" s="71">
        <v>200</v>
      </c>
      <c r="L83" s="71" t="s">
        <v>45</v>
      </c>
      <c r="M83" s="71" t="s">
        <v>39</v>
      </c>
    </row>
    <row r="84" spans="1:13">
      <c r="A84" s="71" t="s">
        <v>213</v>
      </c>
      <c r="B84" s="71" t="s">
        <v>27</v>
      </c>
      <c r="C84" s="71" t="s">
        <v>214</v>
      </c>
      <c r="D84" s="71" t="s">
        <v>70</v>
      </c>
      <c r="E84" s="71" t="s">
        <v>71</v>
      </c>
      <c r="F84" s="71">
        <v>1094</v>
      </c>
      <c r="G84" s="71">
        <v>472</v>
      </c>
      <c r="H84" s="71">
        <v>21</v>
      </c>
      <c r="I84" s="71">
        <v>9846</v>
      </c>
      <c r="J84" s="71">
        <v>9609</v>
      </c>
      <c r="K84" s="71">
        <v>112</v>
      </c>
      <c r="L84" s="71" t="s">
        <v>215</v>
      </c>
      <c r="M84" s="71" t="s">
        <v>39</v>
      </c>
    </row>
    <row r="85" spans="1:13">
      <c r="A85" s="71" t="s">
        <v>216</v>
      </c>
      <c r="B85" s="71" t="s">
        <v>41</v>
      </c>
      <c r="C85" s="71" t="s">
        <v>217</v>
      </c>
      <c r="D85" s="71" t="s">
        <v>50</v>
      </c>
      <c r="E85" s="71" t="s">
        <v>51</v>
      </c>
      <c r="F85" s="71">
        <v>1841</v>
      </c>
      <c r="G85" s="71">
        <v>851</v>
      </c>
      <c r="H85" s="71">
        <v>342</v>
      </c>
      <c r="I85" s="71">
        <v>34979</v>
      </c>
      <c r="J85" s="71">
        <v>34154</v>
      </c>
      <c r="K85" s="71">
        <v>255</v>
      </c>
      <c r="L85" s="71" t="s">
        <v>72</v>
      </c>
      <c r="M85" s="71" t="s">
        <v>19</v>
      </c>
    </row>
    <row r="86" spans="1:13">
      <c r="A86" s="71" t="s">
        <v>218</v>
      </c>
      <c r="B86" s="71" t="s">
        <v>31</v>
      </c>
      <c r="C86" s="71" t="s">
        <v>121</v>
      </c>
      <c r="D86" s="71" t="s">
        <v>50</v>
      </c>
      <c r="E86" s="71" t="s">
        <v>51</v>
      </c>
      <c r="F86" s="71">
        <v>4177</v>
      </c>
      <c r="G86" s="71">
        <v>569</v>
      </c>
      <c r="H86" s="71">
        <v>55</v>
      </c>
      <c r="I86" s="71">
        <v>25062</v>
      </c>
      <c r="J86" s="71">
        <v>24847</v>
      </c>
      <c r="K86" s="71">
        <v>230</v>
      </c>
      <c r="L86" s="71" t="s">
        <v>24</v>
      </c>
      <c r="M86" s="71" t="s">
        <v>19</v>
      </c>
    </row>
    <row r="87" spans="1:13">
      <c r="A87" s="71" t="s">
        <v>219</v>
      </c>
      <c r="B87" s="71" t="s">
        <v>27</v>
      </c>
      <c r="C87" s="71" t="s">
        <v>220</v>
      </c>
      <c r="D87" s="71" t="s">
        <v>22</v>
      </c>
      <c r="E87" s="71" t="s">
        <v>23</v>
      </c>
      <c r="F87" s="71">
        <v>3428</v>
      </c>
      <c r="G87" s="71">
        <v>305</v>
      </c>
      <c r="H87" s="71">
        <v>85</v>
      </c>
      <c r="I87" s="71">
        <v>58276</v>
      </c>
      <c r="J87" s="71">
        <v>58052</v>
      </c>
      <c r="K87" s="71">
        <v>242</v>
      </c>
      <c r="L87" s="71" t="s">
        <v>215</v>
      </c>
      <c r="M87" s="71" t="s">
        <v>39</v>
      </c>
    </row>
    <row r="88" spans="1:13">
      <c r="A88" s="71" t="s">
        <v>221</v>
      </c>
      <c r="B88" s="71" t="s">
        <v>14</v>
      </c>
      <c r="C88" s="71" t="s">
        <v>222</v>
      </c>
      <c r="D88" s="71" t="s">
        <v>70</v>
      </c>
      <c r="E88" s="71" t="s">
        <v>71</v>
      </c>
      <c r="F88" s="71">
        <v>1436</v>
      </c>
      <c r="G88" s="71">
        <v>765</v>
      </c>
      <c r="H88" s="71">
        <v>496</v>
      </c>
      <c r="I88" s="71">
        <v>12924</v>
      </c>
      <c r="J88" s="71">
        <v>12701</v>
      </c>
      <c r="K88" s="71">
        <v>197</v>
      </c>
      <c r="L88" s="71" t="s">
        <v>210</v>
      </c>
      <c r="M88" s="71" t="s">
        <v>25</v>
      </c>
    </row>
    <row r="89" spans="1:13">
      <c r="A89" s="71" t="s">
        <v>223</v>
      </c>
      <c r="B89" s="71" t="s">
        <v>41</v>
      </c>
      <c r="C89" s="71" t="s">
        <v>224</v>
      </c>
      <c r="D89" s="71" t="s">
        <v>33</v>
      </c>
      <c r="E89" s="71" t="s">
        <v>34</v>
      </c>
      <c r="F89" s="71">
        <v>302</v>
      </c>
      <c r="G89" s="71">
        <v>47</v>
      </c>
      <c r="H89" s="71">
        <v>430</v>
      </c>
      <c r="I89" s="71">
        <v>5738</v>
      </c>
      <c r="J89" s="71">
        <v>4890</v>
      </c>
      <c r="K89" s="71">
        <v>25</v>
      </c>
      <c r="L89" s="71" t="s">
        <v>29</v>
      </c>
      <c r="M89" s="71" t="s">
        <v>25</v>
      </c>
    </row>
    <row r="90" spans="1:13">
      <c r="A90" s="71" t="s">
        <v>225</v>
      </c>
      <c r="B90" s="71" t="s">
        <v>14</v>
      </c>
      <c r="C90" s="71" t="s">
        <v>226</v>
      </c>
      <c r="D90" s="71" t="s">
        <v>50</v>
      </c>
      <c r="E90" s="71" t="s">
        <v>51</v>
      </c>
      <c r="F90" s="71">
        <v>2214</v>
      </c>
      <c r="G90" s="71">
        <v>249</v>
      </c>
      <c r="H90" s="71">
        <v>152</v>
      </c>
      <c r="I90" s="71">
        <v>15498</v>
      </c>
      <c r="J90" s="71">
        <v>14800</v>
      </c>
      <c r="K90" s="71">
        <v>180</v>
      </c>
      <c r="L90" s="71" t="s">
        <v>18</v>
      </c>
      <c r="M90" s="71" t="s">
        <v>25</v>
      </c>
    </row>
    <row r="91" spans="1:13">
      <c r="A91" s="71" t="s">
        <v>227</v>
      </c>
      <c r="B91" s="71" t="s">
        <v>31</v>
      </c>
      <c r="C91" s="71" t="s">
        <v>228</v>
      </c>
      <c r="D91" s="71" t="s">
        <v>50</v>
      </c>
      <c r="E91" s="71" t="s">
        <v>51</v>
      </c>
      <c r="F91" s="71">
        <v>3861</v>
      </c>
      <c r="G91" s="71">
        <v>960</v>
      </c>
      <c r="H91" s="71">
        <v>101</v>
      </c>
      <c r="I91" s="71">
        <v>69498</v>
      </c>
      <c r="J91" s="71">
        <v>68817</v>
      </c>
      <c r="K91" s="71">
        <v>297</v>
      </c>
      <c r="L91" s="71" t="s">
        <v>24</v>
      </c>
      <c r="M91" s="71" t="s">
        <v>25</v>
      </c>
    </row>
    <row r="92" spans="1:13">
      <c r="A92" s="71" t="s">
        <v>229</v>
      </c>
      <c r="B92" s="71" t="s">
        <v>41</v>
      </c>
      <c r="C92" s="71" t="s">
        <v>230</v>
      </c>
      <c r="D92" s="71" t="s">
        <v>50</v>
      </c>
      <c r="E92" s="71" t="s">
        <v>51</v>
      </c>
      <c r="F92" s="71">
        <v>1263</v>
      </c>
      <c r="G92" s="71">
        <v>397</v>
      </c>
      <c r="H92" s="71">
        <v>357</v>
      </c>
      <c r="I92" s="71">
        <v>25260</v>
      </c>
      <c r="J92" s="71">
        <v>24615</v>
      </c>
      <c r="K92" s="71">
        <v>137</v>
      </c>
      <c r="L92" s="71" t="s">
        <v>18</v>
      </c>
      <c r="M92" s="71" t="s">
        <v>25</v>
      </c>
    </row>
    <row r="93" spans="1:13">
      <c r="A93" s="71" t="s">
        <v>231</v>
      </c>
      <c r="B93" s="71" t="s">
        <v>14</v>
      </c>
      <c r="C93" s="71" t="s">
        <v>165</v>
      </c>
      <c r="D93" s="71" t="s">
        <v>33</v>
      </c>
      <c r="E93" s="71" t="s">
        <v>34</v>
      </c>
      <c r="F93" s="71">
        <v>3801</v>
      </c>
      <c r="G93" s="71">
        <v>967</v>
      </c>
      <c r="H93" s="71">
        <v>401</v>
      </c>
      <c r="I93" s="71">
        <v>38010</v>
      </c>
      <c r="J93" s="71">
        <v>37625</v>
      </c>
      <c r="K93" s="71">
        <v>236</v>
      </c>
      <c r="L93" s="71" t="s">
        <v>59</v>
      </c>
      <c r="M93" s="71" t="s">
        <v>56</v>
      </c>
    </row>
    <row r="94" spans="1:13">
      <c r="A94" s="71" t="s">
        <v>232</v>
      </c>
      <c r="B94" s="71" t="s">
        <v>31</v>
      </c>
      <c r="C94" s="71" t="s">
        <v>233</v>
      </c>
      <c r="D94" s="71" t="s">
        <v>70</v>
      </c>
      <c r="E94" s="71" t="s">
        <v>71</v>
      </c>
      <c r="F94" s="71">
        <v>1431</v>
      </c>
      <c r="G94" s="71">
        <v>951</v>
      </c>
      <c r="H94" s="71">
        <v>26</v>
      </c>
      <c r="I94" s="71">
        <v>8586</v>
      </c>
      <c r="J94" s="71">
        <v>8396</v>
      </c>
      <c r="K94" s="71">
        <v>150</v>
      </c>
      <c r="L94" s="71" t="s">
        <v>117</v>
      </c>
      <c r="M94" s="71" t="s">
        <v>19</v>
      </c>
    </row>
    <row r="95" spans="1:13">
      <c r="A95" s="71" t="s">
        <v>234</v>
      </c>
      <c r="B95" s="71" t="s">
        <v>31</v>
      </c>
      <c r="C95" s="71" t="s">
        <v>202</v>
      </c>
      <c r="D95" s="71" t="s">
        <v>50</v>
      </c>
      <c r="E95" s="71" t="s">
        <v>51</v>
      </c>
      <c r="F95" s="71">
        <v>2647</v>
      </c>
      <c r="G95" s="71">
        <v>304</v>
      </c>
      <c r="H95" s="71">
        <v>170</v>
      </c>
      <c r="I95" s="71">
        <v>18529</v>
      </c>
      <c r="J95" s="71">
        <v>17841</v>
      </c>
      <c r="K95" s="71">
        <v>46</v>
      </c>
      <c r="L95" s="71" t="s">
        <v>59</v>
      </c>
      <c r="M95" s="71" t="s">
        <v>25</v>
      </c>
    </row>
    <row r="96" spans="1:13">
      <c r="A96" s="71" t="s">
        <v>235</v>
      </c>
      <c r="B96" s="71" t="s">
        <v>31</v>
      </c>
      <c r="C96" s="71" t="s">
        <v>236</v>
      </c>
      <c r="D96" s="71" t="s">
        <v>22</v>
      </c>
      <c r="E96" s="71" t="s">
        <v>23</v>
      </c>
      <c r="F96" s="71">
        <v>3182</v>
      </c>
      <c r="G96" s="71">
        <v>559</v>
      </c>
      <c r="H96" s="71">
        <v>160</v>
      </c>
      <c r="I96" s="71">
        <v>57276</v>
      </c>
      <c r="J96" s="71">
        <v>56890</v>
      </c>
      <c r="K96" s="71">
        <v>163</v>
      </c>
      <c r="L96" s="71" t="s">
        <v>88</v>
      </c>
      <c r="M96" s="71" t="s">
        <v>25</v>
      </c>
    </row>
    <row r="97" spans="1:13">
      <c r="A97" s="71" t="s">
        <v>237</v>
      </c>
      <c r="B97" s="71" t="s">
        <v>14</v>
      </c>
      <c r="C97" s="71" t="s">
        <v>238</v>
      </c>
      <c r="D97" s="71" t="s">
        <v>50</v>
      </c>
      <c r="E97" s="71" t="s">
        <v>51</v>
      </c>
      <c r="F97" s="71">
        <v>1238</v>
      </c>
      <c r="G97" s="71">
        <v>366</v>
      </c>
      <c r="H97" s="71">
        <v>444</v>
      </c>
      <c r="I97" s="71">
        <v>19808</v>
      </c>
      <c r="J97" s="71">
        <v>19334</v>
      </c>
      <c r="K97" s="71">
        <v>123</v>
      </c>
      <c r="L97" s="71" t="s">
        <v>78</v>
      </c>
      <c r="M97" s="71" t="s">
        <v>39</v>
      </c>
    </row>
    <row r="98" spans="1:13">
      <c r="A98" s="71" t="s">
        <v>239</v>
      </c>
      <c r="B98" s="71" t="s">
        <v>31</v>
      </c>
      <c r="C98" s="71" t="s">
        <v>240</v>
      </c>
      <c r="D98" s="71" t="s">
        <v>50</v>
      </c>
      <c r="E98" s="71" t="s">
        <v>51</v>
      </c>
      <c r="F98" s="71">
        <v>4739</v>
      </c>
      <c r="G98" s="71">
        <v>527</v>
      </c>
      <c r="H98" s="71">
        <v>135</v>
      </c>
      <c r="I98" s="71">
        <v>61607</v>
      </c>
      <c r="J98" s="71">
        <v>61333</v>
      </c>
      <c r="K98" s="71">
        <v>36</v>
      </c>
      <c r="L98" s="71" t="s">
        <v>62</v>
      </c>
      <c r="M98" s="71" t="s">
        <v>25</v>
      </c>
    </row>
    <row r="99" spans="1:13">
      <c r="A99" s="71" t="s">
        <v>241</v>
      </c>
      <c r="B99" s="71" t="s">
        <v>14</v>
      </c>
      <c r="C99" s="71" t="s">
        <v>149</v>
      </c>
      <c r="D99" s="71" t="s">
        <v>33</v>
      </c>
      <c r="E99" s="71" t="s">
        <v>34</v>
      </c>
      <c r="F99" s="71">
        <v>1575</v>
      </c>
      <c r="G99" s="71">
        <v>771</v>
      </c>
      <c r="H99" s="71">
        <v>486</v>
      </c>
      <c r="I99" s="71">
        <v>25200</v>
      </c>
      <c r="J99" s="71">
        <v>24826</v>
      </c>
      <c r="K99" s="71">
        <v>17</v>
      </c>
      <c r="L99" s="71" t="s">
        <v>59</v>
      </c>
      <c r="M99" s="71" t="s">
        <v>39</v>
      </c>
    </row>
    <row r="100" spans="1:13">
      <c r="A100" s="71" t="s">
        <v>242</v>
      </c>
      <c r="B100" s="71" t="s">
        <v>27</v>
      </c>
      <c r="C100" s="71" t="s">
        <v>243</v>
      </c>
      <c r="D100" s="71" t="s">
        <v>43</v>
      </c>
      <c r="E100" s="71" t="s">
        <v>44</v>
      </c>
      <c r="F100" s="71">
        <v>4171</v>
      </c>
      <c r="G100" s="71">
        <v>548</v>
      </c>
      <c r="H100" s="71">
        <v>86</v>
      </c>
      <c r="I100" s="71">
        <v>66736</v>
      </c>
      <c r="J100" s="71">
        <v>66634</v>
      </c>
      <c r="K100" s="71">
        <v>173</v>
      </c>
      <c r="L100" s="71" t="s">
        <v>59</v>
      </c>
      <c r="M100" s="71" t="s">
        <v>39</v>
      </c>
    </row>
    <row r="101" spans="1:13">
      <c r="A101" s="71" t="s">
        <v>244</v>
      </c>
      <c r="B101" s="71" t="s">
        <v>27</v>
      </c>
      <c r="C101" s="71" t="s">
        <v>245</v>
      </c>
      <c r="D101" s="71" t="s">
        <v>70</v>
      </c>
      <c r="E101" s="71" t="s">
        <v>71</v>
      </c>
      <c r="F101" s="71">
        <v>1766</v>
      </c>
      <c r="G101" s="71">
        <v>92</v>
      </c>
      <c r="H101" s="71">
        <v>424</v>
      </c>
      <c r="I101" s="71">
        <v>24724</v>
      </c>
      <c r="J101" s="71">
        <v>24333</v>
      </c>
      <c r="K101" s="71">
        <v>52</v>
      </c>
      <c r="L101" s="71" t="s">
        <v>59</v>
      </c>
      <c r="M101" s="71" t="s">
        <v>19</v>
      </c>
    </row>
    <row r="102" spans="1:13">
      <c r="A102" s="71" t="s">
        <v>246</v>
      </c>
      <c r="B102" s="71" t="s">
        <v>27</v>
      </c>
      <c r="C102" s="71" t="s">
        <v>196</v>
      </c>
      <c r="D102" s="71" t="s">
        <v>70</v>
      </c>
      <c r="E102" s="71" t="s">
        <v>71</v>
      </c>
      <c r="F102" s="71">
        <v>4450</v>
      </c>
      <c r="G102" s="71">
        <v>983</v>
      </c>
      <c r="H102" s="71">
        <v>143</v>
      </c>
      <c r="I102" s="71">
        <v>75650</v>
      </c>
      <c r="J102" s="71">
        <v>75008</v>
      </c>
      <c r="K102" s="71">
        <v>12</v>
      </c>
      <c r="L102" s="71" t="s">
        <v>83</v>
      </c>
      <c r="M102" s="71" t="s">
        <v>25</v>
      </c>
    </row>
    <row r="103" spans="1:13">
      <c r="A103" s="71" t="s">
        <v>247</v>
      </c>
      <c r="B103" s="71" t="s">
        <v>14</v>
      </c>
      <c r="C103" s="71" t="s">
        <v>248</v>
      </c>
      <c r="D103" s="71" t="s">
        <v>16</v>
      </c>
      <c r="E103" s="71" t="s">
        <v>17</v>
      </c>
      <c r="F103" s="71">
        <v>1000</v>
      </c>
      <c r="G103" s="71">
        <v>978</v>
      </c>
      <c r="H103" s="71">
        <v>162</v>
      </c>
      <c r="I103" s="71">
        <v>6000</v>
      </c>
      <c r="J103" s="71">
        <v>5221</v>
      </c>
      <c r="K103" s="71">
        <v>223</v>
      </c>
      <c r="L103" s="71" t="s">
        <v>106</v>
      </c>
      <c r="M103" s="71" t="s">
        <v>39</v>
      </c>
    </row>
    <row r="104" spans="1:13">
      <c r="A104" s="71" t="s">
        <v>249</v>
      </c>
      <c r="B104" s="71" t="s">
        <v>41</v>
      </c>
      <c r="C104" s="71" t="s">
        <v>250</v>
      </c>
      <c r="D104" s="71" t="s">
        <v>50</v>
      </c>
      <c r="E104" s="71" t="s">
        <v>51</v>
      </c>
      <c r="F104" s="71">
        <v>3689</v>
      </c>
      <c r="G104" s="71">
        <v>48</v>
      </c>
      <c r="H104" s="71">
        <v>306</v>
      </c>
      <c r="I104" s="71">
        <v>40579</v>
      </c>
      <c r="J104" s="71">
        <v>39588</v>
      </c>
      <c r="K104" s="71">
        <v>212</v>
      </c>
      <c r="L104" s="71" t="s">
        <v>45</v>
      </c>
      <c r="M104" s="71" t="s">
        <v>19</v>
      </c>
    </row>
    <row r="105" spans="1:13">
      <c r="A105" s="71" t="s">
        <v>251</v>
      </c>
      <c r="B105" s="71" t="s">
        <v>27</v>
      </c>
      <c r="C105" s="71" t="s">
        <v>252</v>
      </c>
      <c r="D105" s="71" t="s">
        <v>33</v>
      </c>
      <c r="E105" s="71" t="s">
        <v>34</v>
      </c>
      <c r="F105" s="71">
        <v>3655</v>
      </c>
      <c r="G105" s="71">
        <v>568</v>
      </c>
      <c r="H105" s="71">
        <v>286</v>
      </c>
      <c r="I105" s="71">
        <v>32895</v>
      </c>
      <c r="J105" s="71">
        <v>32015</v>
      </c>
      <c r="K105" s="71">
        <v>199</v>
      </c>
      <c r="L105" s="71" t="s">
        <v>45</v>
      </c>
      <c r="M105" s="71" t="s">
        <v>56</v>
      </c>
    </row>
    <row r="106" spans="1:13">
      <c r="A106" s="71" t="s">
        <v>253</v>
      </c>
      <c r="B106" s="71" t="s">
        <v>31</v>
      </c>
      <c r="C106" s="71" t="s">
        <v>254</v>
      </c>
      <c r="D106" s="71" t="s">
        <v>43</v>
      </c>
      <c r="E106" s="71" t="s">
        <v>44</v>
      </c>
      <c r="F106" s="71">
        <v>498</v>
      </c>
      <c r="G106" s="71">
        <v>38</v>
      </c>
      <c r="H106" s="71">
        <v>42</v>
      </c>
      <c r="I106" s="71">
        <v>4482</v>
      </c>
      <c r="J106" s="71">
        <v>3647</v>
      </c>
      <c r="K106" s="71">
        <v>32</v>
      </c>
      <c r="L106" s="71" t="s">
        <v>163</v>
      </c>
      <c r="M106" s="71" t="s">
        <v>56</v>
      </c>
    </row>
    <row r="107" spans="1:13">
      <c r="A107" s="71" t="s">
        <v>255</v>
      </c>
      <c r="B107" s="71" t="s">
        <v>31</v>
      </c>
      <c r="C107" s="71" t="s">
        <v>256</v>
      </c>
      <c r="D107" s="71" t="s">
        <v>50</v>
      </c>
      <c r="E107" s="71" t="s">
        <v>51</v>
      </c>
      <c r="F107" s="71">
        <v>4619</v>
      </c>
      <c r="G107" s="71">
        <v>821</v>
      </c>
      <c r="H107" s="71">
        <v>499</v>
      </c>
      <c r="I107" s="71">
        <v>69285</v>
      </c>
      <c r="J107" s="71">
        <v>69141</v>
      </c>
      <c r="K107" s="71">
        <v>298</v>
      </c>
      <c r="L107" s="71" t="s">
        <v>24</v>
      </c>
      <c r="M107" s="71" t="s">
        <v>19</v>
      </c>
    </row>
    <row r="108" spans="1:13">
      <c r="A108" s="71" t="s">
        <v>257</v>
      </c>
      <c r="B108" s="71" t="s">
        <v>27</v>
      </c>
      <c r="C108" s="71" t="s">
        <v>258</v>
      </c>
      <c r="D108" s="71" t="s">
        <v>50</v>
      </c>
      <c r="E108" s="71" t="s">
        <v>51</v>
      </c>
      <c r="F108" s="71">
        <v>4832</v>
      </c>
      <c r="G108" s="71">
        <v>893</v>
      </c>
      <c r="H108" s="71">
        <v>10</v>
      </c>
      <c r="I108" s="71">
        <v>91808</v>
      </c>
      <c r="J108" s="71">
        <v>91296</v>
      </c>
      <c r="K108" s="71">
        <v>182</v>
      </c>
      <c r="L108" s="71" t="s">
        <v>83</v>
      </c>
      <c r="M108" s="71" t="s">
        <v>39</v>
      </c>
    </row>
    <row r="109" spans="1:13">
      <c r="A109" s="71" t="s">
        <v>259</v>
      </c>
      <c r="B109" s="71" t="s">
        <v>14</v>
      </c>
      <c r="C109" s="71" t="s">
        <v>260</v>
      </c>
      <c r="D109" s="71" t="s">
        <v>70</v>
      </c>
      <c r="E109" s="71" t="s">
        <v>71</v>
      </c>
      <c r="F109" s="71">
        <v>4050</v>
      </c>
      <c r="G109" s="71">
        <v>871</v>
      </c>
      <c r="H109" s="71">
        <v>347</v>
      </c>
      <c r="I109" s="71">
        <v>52650</v>
      </c>
      <c r="J109" s="71">
        <v>51755</v>
      </c>
      <c r="K109" s="71">
        <v>209</v>
      </c>
      <c r="L109" s="71" t="s">
        <v>163</v>
      </c>
      <c r="M109" s="71" t="s">
        <v>19</v>
      </c>
    </row>
    <row r="110" spans="1:13">
      <c r="A110" s="71" t="s">
        <v>261</v>
      </c>
      <c r="B110" s="71" t="s">
        <v>14</v>
      </c>
      <c r="C110" s="71" t="s">
        <v>262</v>
      </c>
      <c r="D110" s="71" t="s">
        <v>33</v>
      </c>
      <c r="E110" s="71" t="s">
        <v>34</v>
      </c>
      <c r="F110" s="71">
        <v>3649</v>
      </c>
      <c r="G110" s="71">
        <v>215</v>
      </c>
      <c r="H110" s="71">
        <v>413</v>
      </c>
      <c r="I110" s="71">
        <v>25543</v>
      </c>
      <c r="J110" s="71">
        <v>24963</v>
      </c>
      <c r="K110" s="71">
        <v>167</v>
      </c>
      <c r="L110" s="71" t="s">
        <v>147</v>
      </c>
      <c r="M110" s="71" t="s">
        <v>19</v>
      </c>
    </row>
    <row r="111" spans="1:13">
      <c r="A111" s="71" t="s">
        <v>263</v>
      </c>
      <c r="B111" s="71" t="s">
        <v>31</v>
      </c>
      <c r="C111" s="71" t="s">
        <v>264</v>
      </c>
      <c r="D111" s="71" t="s">
        <v>16</v>
      </c>
      <c r="E111" s="71" t="s">
        <v>17</v>
      </c>
      <c r="F111" s="71">
        <v>3523</v>
      </c>
      <c r="G111" s="71">
        <v>753</v>
      </c>
      <c r="H111" s="71">
        <v>482</v>
      </c>
      <c r="I111" s="71">
        <v>38753</v>
      </c>
      <c r="J111" s="71">
        <v>38579</v>
      </c>
      <c r="K111" s="71">
        <v>270</v>
      </c>
      <c r="L111" s="71" t="s">
        <v>265</v>
      </c>
      <c r="M111" s="71" t="s">
        <v>25</v>
      </c>
    </row>
    <row r="112" spans="1:13">
      <c r="A112" s="71" t="s">
        <v>266</v>
      </c>
      <c r="B112" s="71" t="s">
        <v>27</v>
      </c>
      <c r="C112" s="71" t="s">
        <v>267</v>
      </c>
      <c r="D112" s="71" t="s">
        <v>50</v>
      </c>
      <c r="E112" s="71" t="s">
        <v>51</v>
      </c>
      <c r="F112" s="71">
        <v>2719</v>
      </c>
      <c r="G112" s="71">
        <v>17</v>
      </c>
      <c r="H112" s="71">
        <v>285</v>
      </c>
      <c r="I112" s="71">
        <v>40785</v>
      </c>
      <c r="J112" s="71">
        <v>40281</v>
      </c>
      <c r="K112" s="71">
        <v>40</v>
      </c>
      <c r="L112" s="71" t="s">
        <v>147</v>
      </c>
      <c r="M112" s="71" t="s">
        <v>39</v>
      </c>
    </row>
    <row r="113" spans="1:13">
      <c r="A113" s="71" t="s">
        <v>268</v>
      </c>
      <c r="B113" s="71" t="s">
        <v>14</v>
      </c>
      <c r="C113" s="71" t="s">
        <v>269</v>
      </c>
      <c r="D113" s="71" t="s">
        <v>33</v>
      </c>
      <c r="E113" s="71" t="s">
        <v>34</v>
      </c>
      <c r="F113" s="71">
        <v>1957</v>
      </c>
      <c r="G113" s="71">
        <v>877</v>
      </c>
      <c r="H113" s="71">
        <v>238</v>
      </c>
      <c r="I113" s="71">
        <v>17613</v>
      </c>
      <c r="J113" s="71">
        <v>16865</v>
      </c>
      <c r="K113" s="71">
        <v>297</v>
      </c>
      <c r="L113" s="71" t="s">
        <v>29</v>
      </c>
      <c r="M113" s="71" t="s">
        <v>39</v>
      </c>
    </row>
    <row r="114" spans="1:13">
      <c r="A114" s="71" t="s">
        <v>270</v>
      </c>
      <c r="B114" s="71" t="s">
        <v>14</v>
      </c>
      <c r="C114" s="71" t="s">
        <v>271</v>
      </c>
      <c r="D114" s="71" t="s">
        <v>43</v>
      </c>
      <c r="E114" s="71" t="s">
        <v>44</v>
      </c>
      <c r="F114" s="71">
        <v>4419</v>
      </c>
      <c r="G114" s="71">
        <v>236</v>
      </c>
      <c r="H114" s="71">
        <v>369</v>
      </c>
      <c r="I114" s="71">
        <v>44190</v>
      </c>
      <c r="J114" s="71">
        <v>43582</v>
      </c>
      <c r="K114" s="71">
        <v>10</v>
      </c>
      <c r="L114" s="71" t="s">
        <v>45</v>
      </c>
      <c r="M114" s="71" t="s">
        <v>56</v>
      </c>
    </row>
    <row r="115" spans="1:13">
      <c r="A115" s="71" t="s">
        <v>272</v>
      </c>
      <c r="B115" s="71" t="s">
        <v>14</v>
      </c>
      <c r="C115" s="71" t="s">
        <v>273</v>
      </c>
      <c r="D115" s="71" t="s">
        <v>33</v>
      </c>
      <c r="E115" s="71" t="s">
        <v>34</v>
      </c>
      <c r="F115" s="71">
        <v>4000</v>
      </c>
      <c r="G115" s="71">
        <v>689</v>
      </c>
      <c r="H115" s="71">
        <v>488</v>
      </c>
      <c r="I115" s="71">
        <v>40000</v>
      </c>
      <c r="J115" s="71">
        <v>39569</v>
      </c>
      <c r="K115" s="71">
        <v>44</v>
      </c>
      <c r="L115" s="71" t="s">
        <v>145</v>
      </c>
      <c r="M115" s="71" t="s">
        <v>39</v>
      </c>
    </row>
    <row r="116" spans="1:13">
      <c r="A116" s="71" t="s">
        <v>274</v>
      </c>
      <c r="B116" s="71" t="s">
        <v>14</v>
      </c>
      <c r="C116" s="71" t="s">
        <v>275</v>
      </c>
      <c r="D116" s="71" t="s">
        <v>50</v>
      </c>
      <c r="E116" s="71" t="s">
        <v>51</v>
      </c>
      <c r="F116" s="71">
        <v>2493</v>
      </c>
      <c r="G116" s="71">
        <v>97</v>
      </c>
      <c r="H116" s="71">
        <v>44</v>
      </c>
      <c r="I116" s="71">
        <v>42381</v>
      </c>
      <c r="J116" s="71">
        <v>41991</v>
      </c>
      <c r="K116" s="71">
        <v>242</v>
      </c>
      <c r="L116" s="71" t="s">
        <v>83</v>
      </c>
      <c r="M116" s="71" t="s">
        <v>19</v>
      </c>
    </row>
    <row r="117" spans="1:13">
      <c r="A117" s="71" t="s">
        <v>276</v>
      </c>
      <c r="B117" s="71" t="s">
        <v>27</v>
      </c>
      <c r="C117" s="71" t="s">
        <v>277</v>
      </c>
      <c r="D117" s="71" t="s">
        <v>16</v>
      </c>
      <c r="E117" s="71" t="s">
        <v>17</v>
      </c>
      <c r="F117" s="71">
        <v>3704</v>
      </c>
      <c r="G117" s="71">
        <v>186</v>
      </c>
      <c r="H117" s="71">
        <v>458</v>
      </c>
      <c r="I117" s="71">
        <v>25928</v>
      </c>
      <c r="J117" s="71">
        <v>25081</v>
      </c>
      <c r="K117" s="71">
        <v>131</v>
      </c>
      <c r="L117" s="71" t="s">
        <v>59</v>
      </c>
      <c r="M117" s="71" t="s">
        <v>19</v>
      </c>
    </row>
    <row r="118" spans="1:13">
      <c r="A118" s="71" t="s">
        <v>278</v>
      </c>
      <c r="B118" s="71" t="s">
        <v>14</v>
      </c>
      <c r="C118" s="71" t="s">
        <v>279</v>
      </c>
      <c r="D118" s="71" t="s">
        <v>50</v>
      </c>
      <c r="E118" s="71" t="s">
        <v>51</v>
      </c>
      <c r="F118" s="71">
        <v>1606</v>
      </c>
      <c r="G118" s="71">
        <v>451</v>
      </c>
      <c r="H118" s="71">
        <v>405</v>
      </c>
      <c r="I118" s="71">
        <v>20878</v>
      </c>
      <c r="J118" s="71">
        <v>20190</v>
      </c>
      <c r="K118" s="71">
        <v>219</v>
      </c>
      <c r="L118" s="71" t="s">
        <v>83</v>
      </c>
      <c r="M118" s="71" t="s">
        <v>25</v>
      </c>
    </row>
    <row r="119" spans="1:13">
      <c r="A119" s="71" t="s">
        <v>280</v>
      </c>
      <c r="B119" s="71" t="s">
        <v>41</v>
      </c>
      <c r="C119" s="71" t="s">
        <v>279</v>
      </c>
      <c r="D119" s="71" t="s">
        <v>50</v>
      </c>
      <c r="E119" s="71" t="s">
        <v>51</v>
      </c>
      <c r="F119" s="71">
        <v>4551</v>
      </c>
      <c r="G119" s="71">
        <v>714</v>
      </c>
      <c r="H119" s="71">
        <v>207</v>
      </c>
      <c r="I119" s="71">
        <v>68265</v>
      </c>
      <c r="J119" s="71">
        <v>67754</v>
      </c>
      <c r="K119" s="71">
        <v>57</v>
      </c>
      <c r="L119" s="71" t="s">
        <v>45</v>
      </c>
      <c r="M119" s="71" t="s">
        <v>25</v>
      </c>
    </row>
    <row r="120" spans="1:13">
      <c r="A120" s="71" t="s">
        <v>281</v>
      </c>
      <c r="B120" s="71" t="s">
        <v>31</v>
      </c>
      <c r="C120" s="71" t="s">
        <v>282</v>
      </c>
      <c r="D120" s="71" t="s">
        <v>16</v>
      </c>
      <c r="E120" s="71" t="s">
        <v>17</v>
      </c>
      <c r="F120" s="71">
        <v>1970</v>
      </c>
      <c r="G120" s="71">
        <v>675</v>
      </c>
      <c r="H120" s="71">
        <v>478</v>
      </c>
      <c r="I120" s="71">
        <v>9850</v>
      </c>
      <c r="J120" s="71">
        <v>8924</v>
      </c>
      <c r="K120" s="71">
        <v>117</v>
      </c>
      <c r="L120" s="71" t="s">
        <v>45</v>
      </c>
      <c r="M120" s="71" t="s">
        <v>56</v>
      </c>
    </row>
    <row r="121" spans="1:13">
      <c r="A121" s="71" t="s">
        <v>283</v>
      </c>
      <c r="B121" s="71" t="s">
        <v>41</v>
      </c>
      <c r="C121" s="71" t="s">
        <v>165</v>
      </c>
      <c r="D121" s="71" t="s">
        <v>33</v>
      </c>
      <c r="E121" s="71" t="s">
        <v>34</v>
      </c>
      <c r="F121" s="71">
        <v>780</v>
      </c>
      <c r="G121" s="71">
        <v>928</v>
      </c>
      <c r="H121" s="71">
        <v>301</v>
      </c>
      <c r="I121" s="71">
        <v>8580</v>
      </c>
      <c r="J121" s="71">
        <v>8081</v>
      </c>
      <c r="K121" s="71">
        <v>91</v>
      </c>
      <c r="L121" s="71" t="s">
        <v>67</v>
      </c>
      <c r="M121" s="71" t="s">
        <v>56</v>
      </c>
    </row>
    <row r="122" spans="1:13">
      <c r="A122" s="71" t="s">
        <v>284</v>
      </c>
      <c r="B122" s="71" t="s">
        <v>31</v>
      </c>
      <c r="C122" s="71" t="s">
        <v>264</v>
      </c>
      <c r="D122" s="71" t="s">
        <v>33</v>
      </c>
      <c r="E122" s="71" t="s">
        <v>34</v>
      </c>
      <c r="F122" s="71">
        <v>498</v>
      </c>
      <c r="G122" s="71">
        <v>701</v>
      </c>
      <c r="H122" s="71">
        <v>412</v>
      </c>
      <c r="I122" s="71">
        <v>4980</v>
      </c>
      <c r="J122" s="71">
        <v>4185</v>
      </c>
      <c r="K122" s="71">
        <v>185</v>
      </c>
      <c r="L122" s="71" t="s">
        <v>265</v>
      </c>
      <c r="M122" s="71" t="s">
        <v>56</v>
      </c>
    </row>
    <row r="123" spans="1:13">
      <c r="A123" s="71" t="s">
        <v>285</v>
      </c>
      <c r="B123" s="71" t="s">
        <v>31</v>
      </c>
      <c r="C123" s="71" t="s">
        <v>271</v>
      </c>
      <c r="D123" s="71" t="s">
        <v>22</v>
      </c>
      <c r="E123" s="71" t="s">
        <v>23</v>
      </c>
      <c r="F123" s="71">
        <v>3432</v>
      </c>
      <c r="G123" s="71">
        <v>869</v>
      </c>
      <c r="H123" s="71">
        <v>123</v>
      </c>
      <c r="I123" s="71">
        <v>54912</v>
      </c>
      <c r="J123" s="71">
        <v>53916</v>
      </c>
      <c r="K123" s="71">
        <v>264</v>
      </c>
      <c r="L123" s="71" t="s">
        <v>286</v>
      </c>
      <c r="M123" s="71" t="s">
        <v>25</v>
      </c>
    </row>
    <row r="124" spans="1:13">
      <c r="A124" s="71" t="s">
        <v>287</v>
      </c>
      <c r="B124" s="71" t="s">
        <v>31</v>
      </c>
      <c r="C124" s="71" t="s">
        <v>254</v>
      </c>
      <c r="D124" s="71" t="s">
        <v>33</v>
      </c>
      <c r="E124" s="71" t="s">
        <v>34</v>
      </c>
      <c r="F124" s="71">
        <v>4363</v>
      </c>
      <c r="G124" s="71">
        <v>649</v>
      </c>
      <c r="H124" s="71">
        <v>140</v>
      </c>
      <c r="I124" s="71">
        <v>21815</v>
      </c>
      <c r="J124" s="71">
        <v>21481</v>
      </c>
      <c r="K124" s="71">
        <v>157</v>
      </c>
      <c r="L124" s="71" t="s">
        <v>67</v>
      </c>
      <c r="M124" s="71" t="s">
        <v>25</v>
      </c>
    </row>
    <row r="125" spans="1:13">
      <c r="A125" s="71" t="s">
        <v>288</v>
      </c>
      <c r="B125" s="71" t="s">
        <v>27</v>
      </c>
      <c r="C125" s="71" t="s">
        <v>289</v>
      </c>
      <c r="D125" s="71" t="s">
        <v>43</v>
      </c>
      <c r="E125" s="71" t="s">
        <v>44</v>
      </c>
      <c r="F125" s="71">
        <v>736</v>
      </c>
      <c r="G125" s="71">
        <v>771</v>
      </c>
      <c r="H125" s="71">
        <v>225</v>
      </c>
      <c r="I125" s="71">
        <v>5152</v>
      </c>
      <c r="J125" s="71">
        <v>4706</v>
      </c>
      <c r="K125" s="71">
        <v>19</v>
      </c>
      <c r="L125" s="71" t="s">
        <v>59</v>
      </c>
      <c r="M125" s="71" t="s">
        <v>39</v>
      </c>
    </row>
    <row r="126" spans="1:13">
      <c r="A126" s="71" t="s">
        <v>290</v>
      </c>
      <c r="B126" s="71" t="s">
        <v>14</v>
      </c>
      <c r="C126" s="71" t="s">
        <v>291</v>
      </c>
      <c r="D126" s="71" t="s">
        <v>43</v>
      </c>
      <c r="E126" s="71" t="s">
        <v>44</v>
      </c>
      <c r="F126" s="71">
        <v>3811</v>
      </c>
      <c r="G126" s="71">
        <v>866</v>
      </c>
      <c r="H126" s="71">
        <v>216</v>
      </c>
      <c r="I126" s="71">
        <v>34299</v>
      </c>
      <c r="J126" s="71">
        <v>34088</v>
      </c>
      <c r="K126" s="71">
        <v>233</v>
      </c>
      <c r="L126" s="71" t="s">
        <v>59</v>
      </c>
      <c r="M126" s="71" t="s">
        <v>39</v>
      </c>
    </row>
    <row r="127" spans="1:13">
      <c r="A127" s="71" t="s">
        <v>292</v>
      </c>
      <c r="B127" s="71" t="s">
        <v>31</v>
      </c>
      <c r="C127" s="71" t="s">
        <v>181</v>
      </c>
      <c r="D127" s="71" t="s">
        <v>43</v>
      </c>
      <c r="E127" s="71" t="s">
        <v>44</v>
      </c>
      <c r="F127" s="71">
        <v>4158</v>
      </c>
      <c r="G127" s="71">
        <v>167</v>
      </c>
      <c r="H127" s="71">
        <v>241</v>
      </c>
      <c r="I127" s="71">
        <v>45738</v>
      </c>
      <c r="J127" s="71">
        <v>45183</v>
      </c>
      <c r="K127" s="71">
        <v>142</v>
      </c>
      <c r="L127" s="71" t="s">
        <v>24</v>
      </c>
      <c r="M127" s="71" t="s">
        <v>25</v>
      </c>
    </row>
    <row r="128" spans="1:13">
      <c r="A128" s="71" t="s">
        <v>293</v>
      </c>
      <c r="B128" s="71" t="s">
        <v>41</v>
      </c>
      <c r="C128" s="71" t="s">
        <v>220</v>
      </c>
      <c r="D128" s="71" t="s">
        <v>16</v>
      </c>
      <c r="E128" s="71" t="s">
        <v>17</v>
      </c>
      <c r="F128" s="71">
        <v>3452</v>
      </c>
      <c r="G128" s="71">
        <v>652</v>
      </c>
      <c r="H128" s="71">
        <v>442</v>
      </c>
      <c r="I128" s="71">
        <v>65588</v>
      </c>
      <c r="J128" s="71">
        <v>65049</v>
      </c>
      <c r="K128" s="71">
        <v>158</v>
      </c>
      <c r="L128" s="71" t="s">
        <v>83</v>
      </c>
      <c r="M128" s="71" t="s">
        <v>19</v>
      </c>
    </row>
    <row r="129" spans="1:13">
      <c r="A129" s="71" t="s">
        <v>294</v>
      </c>
      <c r="B129" s="71" t="s">
        <v>14</v>
      </c>
      <c r="C129" s="71" t="s">
        <v>226</v>
      </c>
      <c r="D129" s="71" t="s">
        <v>50</v>
      </c>
      <c r="E129" s="71" t="s">
        <v>51</v>
      </c>
      <c r="F129" s="71">
        <v>3092</v>
      </c>
      <c r="G129" s="71">
        <v>106</v>
      </c>
      <c r="H129" s="71">
        <v>291</v>
      </c>
      <c r="I129" s="71">
        <v>27828</v>
      </c>
      <c r="J129" s="71">
        <v>27217</v>
      </c>
      <c r="K129" s="71">
        <v>102</v>
      </c>
      <c r="L129" s="71" t="s">
        <v>59</v>
      </c>
      <c r="M129" s="71" t="s">
        <v>56</v>
      </c>
    </row>
    <row r="130" spans="1:13">
      <c r="A130" s="71" t="s">
        <v>295</v>
      </c>
      <c r="B130" s="71" t="s">
        <v>14</v>
      </c>
      <c r="C130" s="71" t="s">
        <v>61</v>
      </c>
      <c r="D130" s="71" t="s">
        <v>22</v>
      </c>
      <c r="E130" s="71" t="s">
        <v>23</v>
      </c>
      <c r="F130" s="71">
        <v>2147</v>
      </c>
      <c r="G130" s="71">
        <v>430</v>
      </c>
      <c r="H130" s="71">
        <v>393</v>
      </c>
      <c r="I130" s="71">
        <v>17176</v>
      </c>
      <c r="J130" s="71">
        <v>16483</v>
      </c>
      <c r="K130" s="71">
        <v>170</v>
      </c>
      <c r="L130" s="71" t="s">
        <v>78</v>
      </c>
      <c r="M130" s="71" t="s">
        <v>56</v>
      </c>
    </row>
    <row r="131" spans="1:13">
      <c r="A131" s="71" t="s">
        <v>296</v>
      </c>
      <c r="B131" s="71" t="s">
        <v>27</v>
      </c>
      <c r="C131" s="71" t="s">
        <v>297</v>
      </c>
      <c r="D131" s="71" t="s">
        <v>16</v>
      </c>
      <c r="E131" s="71" t="s">
        <v>17</v>
      </c>
      <c r="F131" s="71">
        <v>2936</v>
      </c>
      <c r="G131" s="71">
        <v>439</v>
      </c>
      <c r="H131" s="71">
        <v>44</v>
      </c>
      <c r="I131" s="71">
        <v>38168</v>
      </c>
      <c r="J131" s="71">
        <v>37571</v>
      </c>
      <c r="K131" s="71">
        <v>22</v>
      </c>
      <c r="L131" s="71" t="s">
        <v>18</v>
      </c>
      <c r="M131" s="71" t="s">
        <v>39</v>
      </c>
    </row>
    <row r="132" spans="1:13">
      <c r="A132" s="71" t="s">
        <v>298</v>
      </c>
      <c r="B132" s="71" t="s">
        <v>31</v>
      </c>
      <c r="C132" s="71" t="s">
        <v>165</v>
      </c>
      <c r="D132" s="71" t="s">
        <v>16</v>
      </c>
      <c r="E132" s="71" t="s">
        <v>17</v>
      </c>
      <c r="F132" s="71">
        <v>4840</v>
      </c>
      <c r="G132" s="71">
        <v>658</v>
      </c>
      <c r="H132" s="71">
        <v>211</v>
      </c>
      <c r="I132" s="71">
        <v>43560</v>
      </c>
      <c r="J132" s="71">
        <v>43225</v>
      </c>
      <c r="K132" s="71">
        <v>57</v>
      </c>
      <c r="L132" s="71" t="s">
        <v>67</v>
      </c>
      <c r="M132" s="71" t="s">
        <v>25</v>
      </c>
    </row>
    <row r="133" spans="1:13">
      <c r="A133" s="71" t="s">
        <v>299</v>
      </c>
      <c r="B133" s="71" t="s">
        <v>31</v>
      </c>
      <c r="C133" s="71" t="s">
        <v>102</v>
      </c>
      <c r="D133" s="71" t="s">
        <v>33</v>
      </c>
      <c r="E133" s="71" t="s">
        <v>34</v>
      </c>
      <c r="F133" s="71">
        <v>1947</v>
      </c>
      <c r="G133" s="71">
        <v>842</v>
      </c>
      <c r="H133" s="71">
        <v>101</v>
      </c>
      <c r="I133" s="71">
        <v>21417</v>
      </c>
      <c r="J133" s="71">
        <v>20967</v>
      </c>
      <c r="K133" s="71">
        <v>186</v>
      </c>
      <c r="L133" s="71" t="s">
        <v>24</v>
      </c>
      <c r="M133" s="71" t="s">
        <v>25</v>
      </c>
    </row>
    <row r="134" spans="1:13">
      <c r="A134" s="71" t="s">
        <v>300</v>
      </c>
      <c r="B134" s="71" t="s">
        <v>41</v>
      </c>
      <c r="C134" s="71" t="s">
        <v>301</v>
      </c>
      <c r="D134" s="71" t="s">
        <v>50</v>
      </c>
      <c r="E134" s="71" t="s">
        <v>51</v>
      </c>
      <c r="F134" s="71">
        <v>2072</v>
      </c>
      <c r="G134" s="71">
        <v>532</v>
      </c>
      <c r="H134" s="71">
        <v>71</v>
      </c>
      <c r="I134" s="71">
        <v>37296</v>
      </c>
      <c r="J134" s="71">
        <v>36467</v>
      </c>
      <c r="K134" s="71">
        <v>25</v>
      </c>
      <c r="L134" s="71" t="s">
        <v>18</v>
      </c>
      <c r="M134" s="71" t="s">
        <v>39</v>
      </c>
    </row>
    <row r="135" spans="1:13">
      <c r="A135" s="71" t="s">
        <v>302</v>
      </c>
      <c r="B135" s="71" t="s">
        <v>14</v>
      </c>
      <c r="C135" s="71" t="s">
        <v>303</v>
      </c>
      <c r="D135" s="71" t="s">
        <v>16</v>
      </c>
      <c r="E135" s="71" t="s">
        <v>17</v>
      </c>
      <c r="F135" s="71">
        <v>3731</v>
      </c>
      <c r="G135" s="71">
        <v>115</v>
      </c>
      <c r="H135" s="71">
        <v>135</v>
      </c>
      <c r="I135" s="71">
        <v>55965</v>
      </c>
      <c r="J135" s="71">
        <v>55436</v>
      </c>
      <c r="K135" s="71">
        <v>103</v>
      </c>
      <c r="L135" s="71" t="s">
        <v>78</v>
      </c>
      <c r="M135" s="71" t="s">
        <v>56</v>
      </c>
    </row>
    <row r="136" spans="1:13">
      <c r="A136" s="71" t="s">
        <v>304</v>
      </c>
      <c r="B136" s="71" t="s">
        <v>41</v>
      </c>
      <c r="C136" s="71" t="s">
        <v>305</v>
      </c>
      <c r="D136" s="71" t="s">
        <v>22</v>
      </c>
      <c r="E136" s="71" t="s">
        <v>23</v>
      </c>
      <c r="F136" s="71">
        <v>4213</v>
      </c>
      <c r="G136" s="71">
        <v>253</v>
      </c>
      <c r="H136" s="71">
        <v>434</v>
      </c>
      <c r="I136" s="71">
        <v>75834</v>
      </c>
      <c r="J136" s="71">
        <v>75437</v>
      </c>
      <c r="K136" s="71">
        <v>272</v>
      </c>
      <c r="L136" s="71" t="s">
        <v>45</v>
      </c>
      <c r="M136" s="71" t="s">
        <v>39</v>
      </c>
    </row>
    <row r="137" spans="1:13">
      <c r="A137" s="71" t="s">
        <v>306</v>
      </c>
      <c r="B137" s="71" t="s">
        <v>31</v>
      </c>
      <c r="C137" s="71" t="s">
        <v>307</v>
      </c>
      <c r="D137" s="71" t="s">
        <v>22</v>
      </c>
      <c r="E137" s="71" t="s">
        <v>23</v>
      </c>
      <c r="F137" s="71">
        <v>3134</v>
      </c>
      <c r="G137" s="71">
        <v>888</v>
      </c>
      <c r="H137" s="71">
        <v>444</v>
      </c>
      <c r="I137" s="71">
        <v>21938</v>
      </c>
      <c r="J137" s="71">
        <v>21337</v>
      </c>
      <c r="K137" s="71">
        <v>130</v>
      </c>
      <c r="L137" s="71" t="s">
        <v>67</v>
      </c>
      <c r="M137" s="71" t="s">
        <v>56</v>
      </c>
    </row>
    <row r="138" spans="1:13">
      <c r="A138" s="71" t="s">
        <v>308</v>
      </c>
      <c r="B138" s="71" t="s">
        <v>41</v>
      </c>
      <c r="C138" s="71" t="s">
        <v>112</v>
      </c>
      <c r="D138" s="71" t="s">
        <v>70</v>
      </c>
      <c r="E138" s="71" t="s">
        <v>71</v>
      </c>
      <c r="F138" s="71">
        <v>3008</v>
      </c>
      <c r="G138" s="71">
        <v>94</v>
      </c>
      <c r="H138" s="71">
        <v>37</v>
      </c>
      <c r="I138" s="71">
        <v>15040</v>
      </c>
      <c r="J138" s="71">
        <v>14639</v>
      </c>
      <c r="K138" s="71">
        <v>277</v>
      </c>
      <c r="L138" s="71" t="s">
        <v>78</v>
      </c>
      <c r="M138" s="71" t="s">
        <v>19</v>
      </c>
    </row>
    <row r="139" spans="1:13">
      <c r="A139" s="71" t="s">
        <v>309</v>
      </c>
      <c r="B139" s="71" t="s">
        <v>14</v>
      </c>
      <c r="C139" s="71" t="s">
        <v>185</v>
      </c>
      <c r="D139" s="71" t="s">
        <v>50</v>
      </c>
      <c r="E139" s="71" t="s">
        <v>51</v>
      </c>
      <c r="F139" s="71">
        <v>305</v>
      </c>
      <c r="G139" s="71">
        <v>187</v>
      </c>
      <c r="H139" s="71">
        <v>243</v>
      </c>
      <c r="I139" s="71">
        <v>4575</v>
      </c>
      <c r="J139" s="71">
        <v>3704</v>
      </c>
      <c r="K139" s="71">
        <v>234</v>
      </c>
      <c r="L139" s="71" t="s">
        <v>286</v>
      </c>
      <c r="M139" s="71" t="s">
        <v>56</v>
      </c>
    </row>
    <row r="140" spans="1:13">
      <c r="A140" s="71" t="s">
        <v>310</v>
      </c>
      <c r="B140" s="71" t="s">
        <v>27</v>
      </c>
      <c r="C140" s="71" t="s">
        <v>311</v>
      </c>
      <c r="D140" s="71" t="s">
        <v>22</v>
      </c>
      <c r="E140" s="71" t="s">
        <v>23</v>
      </c>
      <c r="F140" s="71">
        <v>2746</v>
      </c>
      <c r="G140" s="71">
        <v>156</v>
      </c>
      <c r="H140" s="71">
        <v>203</v>
      </c>
      <c r="I140" s="71">
        <v>32952</v>
      </c>
      <c r="J140" s="71">
        <v>32147</v>
      </c>
      <c r="K140" s="71">
        <v>147</v>
      </c>
      <c r="L140" s="71" t="s">
        <v>147</v>
      </c>
      <c r="M140" s="71" t="s">
        <v>25</v>
      </c>
    </row>
    <row r="141" spans="1:13">
      <c r="A141" s="71" t="s">
        <v>312</v>
      </c>
      <c r="B141" s="71" t="s">
        <v>41</v>
      </c>
      <c r="C141" s="71" t="s">
        <v>313</v>
      </c>
      <c r="D141" s="71" t="s">
        <v>50</v>
      </c>
      <c r="E141" s="71" t="s">
        <v>51</v>
      </c>
      <c r="F141" s="71">
        <v>2291</v>
      </c>
      <c r="G141" s="71">
        <v>78</v>
      </c>
      <c r="H141" s="71">
        <v>485</v>
      </c>
      <c r="I141" s="71">
        <v>18328</v>
      </c>
      <c r="J141" s="71">
        <v>18101</v>
      </c>
      <c r="K141" s="71">
        <v>10</v>
      </c>
      <c r="L141" s="71" t="s">
        <v>78</v>
      </c>
      <c r="M141" s="71" t="s">
        <v>19</v>
      </c>
    </row>
    <row r="142" spans="1:13">
      <c r="A142" s="71" t="s">
        <v>314</v>
      </c>
      <c r="B142" s="71" t="s">
        <v>14</v>
      </c>
      <c r="C142" s="71" t="s">
        <v>315</v>
      </c>
      <c r="D142" s="71" t="s">
        <v>50</v>
      </c>
      <c r="E142" s="71" t="s">
        <v>51</v>
      </c>
      <c r="F142" s="71">
        <v>3170</v>
      </c>
      <c r="G142" s="71">
        <v>857</v>
      </c>
      <c r="H142" s="71">
        <v>379</v>
      </c>
      <c r="I142" s="71">
        <v>19020</v>
      </c>
      <c r="J142" s="71">
        <v>18559</v>
      </c>
      <c r="K142" s="71">
        <v>240</v>
      </c>
      <c r="L142" s="71" t="s">
        <v>18</v>
      </c>
      <c r="M142" s="71" t="s">
        <v>39</v>
      </c>
    </row>
    <row r="143" spans="1:13">
      <c r="A143" s="71" t="s">
        <v>316</v>
      </c>
      <c r="B143" s="71" t="s">
        <v>27</v>
      </c>
      <c r="C143" s="71" t="s">
        <v>260</v>
      </c>
      <c r="D143" s="71" t="s">
        <v>33</v>
      </c>
      <c r="E143" s="71" t="s">
        <v>34</v>
      </c>
      <c r="F143" s="71">
        <v>2070</v>
      </c>
      <c r="G143" s="71">
        <v>275</v>
      </c>
      <c r="H143" s="71">
        <v>386</v>
      </c>
      <c r="I143" s="71">
        <v>39330</v>
      </c>
      <c r="J143" s="71">
        <v>38627</v>
      </c>
      <c r="K143" s="71">
        <v>114</v>
      </c>
      <c r="L143" s="71" t="s">
        <v>18</v>
      </c>
      <c r="M143" s="71" t="s">
        <v>56</v>
      </c>
    </row>
    <row r="144" spans="1:13">
      <c r="A144" s="71" t="s">
        <v>317</v>
      </c>
      <c r="B144" s="71" t="s">
        <v>27</v>
      </c>
      <c r="C144" s="71" t="s">
        <v>271</v>
      </c>
      <c r="D144" s="71" t="s">
        <v>43</v>
      </c>
      <c r="E144" s="71" t="s">
        <v>44</v>
      </c>
      <c r="F144" s="71">
        <v>80</v>
      </c>
      <c r="G144" s="71">
        <v>362</v>
      </c>
      <c r="H144" s="71">
        <v>80</v>
      </c>
      <c r="I144" s="71">
        <v>1040</v>
      </c>
      <c r="J144" s="71">
        <v>349</v>
      </c>
      <c r="K144" s="71">
        <v>117</v>
      </c>
      <c r="L144" s="71" t="s">
        <v>147</v>
      </c>
      <c r="M144" s="71" t="s">
        <v>25</v>
      </c>
    </row>
    <row r="145" spans="1:13">
      <c r="A145" s="71" t="s">
        <v>318</v>
      </c>
      <c r="B145" s="71" t="s">
        <v>27</v>
      </c>
      <c r="C145" s="71" t="s">
        <v>198</v>
      </c>
      <c r="D145" s="71" t="s">
        <v>33</v>
      </c>
      <c r="E145" s="71" t="s">
        <v>34</v>
      </c>
      <c r="F145" s="71">
        <v>4929</v>
      </c>
      <c r="G145" s="71">
        <v>749</v>
      </c>
      <c r="H145" s="71">
        <v>452</v>
      </c>
      <c r="I145" s="71">
        <v>93651</v>
      </c>
      <c r="J145" s="71">
        <v>92810</v>
      </c>
      <c r="K145" s="71">
        <v>66</v>
      </c>
      <c r="L145" s="71" t="s">
        <v>215</v>
      </c>
      <c r="M145" s="71" t="s">
        <v>19</v>
      </c>
    </row>
    <row r="146" spans="1:13">
      <c r="A146" s="71" t="s">
        <v>319</v>
      </c>
      <c r="B146" s="71" t="s">
        <v>31</v>
      </c>
      <c r="C146" s="71" t="s">
        <v>32</v>
      </c>
      <c r="D146" s="71" t="s">
        <v>43</v>
      </c>
      <c r="E146" s="71" t="s">
        <v>44</v>
      </c>
      <c r="F146" s="71">
        <v>1878</v>
      </c>
      <c r="G146" s="71">
        <v>62</v>
      </c>
      <c r="H146" s="71">
        <v>179</v>
      </c>
      <c r="I146" s="71">
        <v>37560</v>
      </c>
      <c r="J146" s="71">
        <v>36874</v>
      </c>
      <c r="K146" s="71">
        <v>142</v>
      </c>
      <c r="L146" s="71" t="s">
        <v>179</v>
      </c>
      <c r="M146" s="71" t="s">
        <v>19</v>
      </c>
    </row>
    <row r="147" spans="1:13">
      <c r="A147" s="71" t="s">
        <v>320</v>
      </c>
      <c r="B147" s="71" t="s">
        <v>27</v>
      </c>
      <c r="C147" s="71" t="s">
        <v>321</v>
      </c>
      <c r="D147" s="71" t="s">
        <v>16</v>
      </c>
      <c r="E147" s="71" t="s">
        <v>17</v>
      </c>
      <c r="F147" s="71">
        <v>3065</v>
      </c>
      <c r="G147" s="71">
        <v>772</v>
      </c>
      <c r="H147" s="71">
        <v>142</v>
      </c>
      <c r="I147" s="71">
        <v>18390</v>
      </c>
      <c r="J147" s="71">
        <v>17875</v>
      </c>
      <c r="K147" s="71">
        <v>200</v>
      </c>
      <c r="L147" s="71" t="s">
        <v>59</v>
      </c>
      <c r="M147" s="71" t="s">
        <v>19</v>
      </c>
    </row>
    <row r="148" spans="1:13">
      <c r="A148" s="71" t="s">
        <v>322</v>
      </c>
      <c r="B148" s="71" t="s">
        <v>31</v>
      </c>
      <c r="C148" s="71" t="s">
        <v>165</v>
      </c>
      <c r="D148" s="71" t="s">
        <v>16</v>
      </c>
      <c r="E148" s="71" t="s">
        <v>17</v>
      </c>
      <c r="F148" s="71">
        <v>3256</v>
      </c>
      <c r="G148" s="71">
        <v>459</v>
      </c>
      <c r="H148" s="71">
        <v>266</v>
      </c>
      <c r="I148" s="71">
        <v>26048</v>
      </c>
      <c r="J148" s="71">
        <v>25529</v>
      </c>
      <c r="K148" s="71">
        <v>143</v>
      </c>
      <c r="L148" s="71" t="s">
        <v>83</v>
      </c>
      <c r="M148" s="71" t="s">
        <v>39</v>
      </c>
    </row>
    <row r="149" spans="1:13">
      <c r="A149" s="71" t="s">
        <v>323</v>
      </c>
      <c r="B149" s="71" t="s">
        <v>31</v>
      </c>
      <c r="C149" s="71" t="s">
        <v>167</v>
      </c>
      <c r="D149" s="71" t="s">
        <v>70</v>
      </c>
      <c r="E149" s="71" t="s">
        <v>71</v>
      </c>
      <c r="F149" s="71">
        <v>4133</v>
      </c>
      <c r="G149" s="71">
        <v>466</v>
      </c>
      <c r="H149" s="71">
        <v>327</v>
      </c>
      <c r="I149" s="71">
        <v>24798</v>
      </c>
      <c r="J149" s="71">
        <v>24620</v>
      </c>
      <c r="K149" s="71">
        <v>176</v>
      </c>
      <c r="L149" s="71" t="s">
        <v>59</v>
      </c>
      <c r="M149" s="71" t="s">
        <v>25</v>
      </c>
    </row>
    <row r="150" spans="1:13">
      <c r="A150" s="71" t="s">
        <v>324</v>
      </c>
      <c r="B150" s="71" t="s">
        <v>14</v>
      </c>
      <c r="C150" s="71" t="s">
        <v>325</v>
      </c>
      <c r="D150" s="71" t="s">
        <v>70</v>
      </c>
      <c r="E150" s="71" t="s">
        <v>71</v>
      </c>
      <c r="F150" s="71">
        <v>1702</v>
      </c>
      <c r="G150" s="71">
        <v>750</v>
      </c>
      <c r="H150" s="71">
        <v>179</v>
      </c>
      <c r="I150" s="71">
        <v>34040</v>
      </c>
      <c r="J150" s="71">
        <v>33174</v>
      </c>
      <c r="K150" s="71">
        <v>76</v>
      </c>
      <c r="L150" s="71" t="s">
        <v>45</v>
      </c>
      <c r="M150" s="71" t="s">
        <v>39</v>
      </c>
    </row>
    <row r="151" spans="1:13">
      <c r="A151" s="71" t="s">
        <v>326</v>
      </c>
      <c r="B151" s="71" t="s">
        <v>27</v>
      </c>
      <c r="C151" s="71" t="s">
        <v>327</v>
      </c>
      <c r="D151" s="71" t="s">
        <v>43</v>
      </c>
      <c r="E151" s="71" t="s">
        <v>44</v>
      </c>
      <c r="F151" s="71">
        <v>4295</v>
      </c>
      <c r="G151" s="71">
        <v>853</v>
      </c>
      <c r="H151" s="71">
        <v>325</v>
      </c>
      <c r="I151" s="71">
        <v>85900</v>
      </c>
      <c r="J151" s="71">
        <v>85788</v>
      </c>
      <c r="K151" s="71">
        <v>290</v>
      </c>
      <c r="L151" s="71" t="s">
        <v>210</v>
      </c>
      <c r="M151" s="71" t="s">
        <v>25</v>
      </c>
    </row>
    <row r="152" spans="1:13">
      <c r="A152" s="71" t="s">
        <v>328</v>
      </c>
      <c r="B152" s="71" t="s">
        <v>31</v>
      </c>
      <c r="C152" s="71" t="s">
        <v>183</v>
      </c>
      <c r="D152" s="71" t="s">
        <v>50</v>
      </c>
      <c r="E152" s="71" t="s">
        <v>51</v>
      </c>
      <c r="F152" s="71">
        <v>3559</v>
      </c>
      <c r="G152" s="71">
        <v>59</v>
      </c>
      <c r="H152" s="71">
        <v>289</v>
      </c>
      <c r="I152" s="71">
        <v>35590</v>
      </c>
      <c r="J152" s="71">
        <v>35105</v>
      </c>
      <c r="K152" s="71">
        <v>122</v>
      </c>
      <c r="L152" s="71" t="s">
        <v>215</v>
      </c>
      <c r="M152" s="71" t="s">
        <v>39</v>
      </c>
    </row>
    <row r="153" spans="1:13">
      <c r="A153" s="71" t="s">
        <v>329</v>
      </c>
      <c r="B153" s="71" t="s">
        <v>41</v>
      </c>
      <c r="C153" s="71" t="s">
        <v>330</v>
      </c>
      <c r="D153" s="71" t="s">
        <v>50</v>
      </c>
      <c r="E153" s="71" t="s">
        <v>51</v>
      </c>
      <c r="F153" s="71">
        <v>4804</v>
      </c>
      <c r="G153" s="71">
        <v>550</v>
      </c>
      <c r="H153" s="71">
        <v>270</v>
      </c>
      <c r="I153" s="71">
        <v>28824</v>
      </c>
      <c r="J153" s="71">
        <v>28370</v>
      </c>
      <c r="K153" s="71">
        <v>47</v>
      </c>
      <c r="L153" s="71" t="s">
        <v>83</v>
      </c>
      <c r="M153" s="71" t="s">
        <v>56</v>
      </c>
    </row>
    <row r="154" spans="1:13">
      <c r="A154" s="71" t="s">
        <v>331</v>
      </c>
      <c r="B154" s="71" t="s">
        <v>14</v>
      </c>
      <c r="C154" s="71" t="s">
        <v>332</v>
      </c>
      <c r="D154" s="71" t="s">
        <v>70</v>
      </c>
      <c r="E154" s="71" t="s">
        <v>71</v>
      </c>
      <c r="F154" s="71">
        <v>754</v>
      </c>
      <c r="G154" s="71">
        <v>197</v>
      </c>
      <c r="H154" s="71">
        <v>257</v>
      </c>
      <c r="I154" s="71">
        <v>6786</v>
      </c>
      <c r="J154" s="71">
        <v>6221</v>
      </c>
      <c r="K154" s="71">
        <v>212</v>
      </c>
      <c r="L154" s="71" t="s">
        <v>179</v>
      </c>
      <c r="M154" s="71" t="s">
        <v>39</v>
      </c>
    </row>
    <row r="155" spans="1:13">
      <c r="A155" s="71" t="s">
        <v>333</v>
      </c>
      <c r="B155" s="71" t="s">
        <v>31</v>
      </c>
      <c r="C155" s="71" t="s">
        <v>206</v>
      </c>
      <c r="D155" s="71" t="s">
        <v>43</v>
      </c>
      <c r="E155" s="71" t="s">
        <v>44</v>
      </c>
      <c r="F155" s="71">
        <v>985</v>
      </c>
      <c r="G155" s="71">
        <v>932</v>
      </c>
      <c r="H155" s="71">
        <v>287</v>
      </c>
      <c r="I155" s="71">
        <v>6895</v>
      </c>
      <c r="J155" s="71">
        <v>6757</v>
      </c>
      <c r="K155" s="71">
        <v>64</v>
      </c>
      <c r="L155" s="71" t="s">
        <v>67</v>
      </c>
      <c r="M155" s="71" t="s">
        <v>25</v>
      </c>
    </row>
    <row r="156" spans="1:13">
      <c r="A156" s="71" t="s">
        <v>334</v>
      </c>
      <c r="B156" s="71" t="s">
        <v>27</v>
      </c>
      <c r="C156" s="71" t="s">
        <v>335</v>
      </c>
      <c r="D156" s="71" t="s">
        <v>50</v>
      </c>
      <c r="E156" s="71" t="s">
        <v>51</v>
      </c>
      <c r="F156" s="71">
        <v>2283</v>
      </c>
      <c r="G156" s="71">
        <v>210</v>
      </c>
      <c r="H156" s="71">
        <v>130</v>
      </c>
      <c r="I156" s="71">
        <v>22830</v>
      </c>
      <c r="J156" s="71">
        <v>22617</v>
      </c>
      <c r="K156" s="71">
        <v>143</v>
      </c>
      <c r="L156" s="71" t="s">
        <v>147</v>
      </c>
      <c r="M156" s="71" t="s">
        <v>39</v>
      </c>
    </row>
    <row r="157" spans="1:13">
      <c r="A157" s="71" t="s">
        <v>336</v>
      </c>
      <c r="B157" s="71" t="s">
        <v>41</v>
      </c>
      <c r="C157" s="71" t="s">
        <v>337</v>
      </c>
      <c r="D157" s="71" t="s">
        <v>43</v>
      </c>
      <c r="E157" s="71" t="s">
        <v>44</v>
      </c>
      <c r="F157" s="71">
        <v>3352</v>
      </c>
      <c r="G157" s="71">
        <v>941</v>
      </c>
      <c r="H157" s="71">
        <v>482</v>
      </c>
      <c r="I157" s="71">
        <v>43576</v>
      </c>
      <c r="J157" s="71">
        <v>43338</v>
      </c>
      <c r="K157" s="71">
        <v>240</v>
      </c>
      <c r="L157" s="71" t="s">
        <v>45</v>
      </c>
      <c r="M157" s="71" t="s">
        <v>39</v>
      </c>
    </row>
    <row r="158" spans="1:13">
      <c r="A158" s="71" t="s">
        <v>338</v>
      </c>
      <c r="B158" s="71" t="s">
        <v>27</v>
      </c>
      <c r="C158" s="71" t="s">
        <v>339</v>
      </c>
      <c r="D158" s="71" t="s">
        <v>33</v>
      </c>
      <c r="E158" s="71" t="s">
        <v>34</v>
      </c>
      <c r="F158" s="71">
        <v>4775</v>
      </c>
      <c r="G158" s="71">
        <v>173</v>
      </c>
      <c r="H158" s="71">
        <v>206</v>
      </c>
      <c r="I158" s="71">
        <v>47750</v>
      </c>
      <c r="J158" s="71">
        <v>47544</v>
      </c>
      <c r="K158" s="71">
        <v>187</v>
      </c>
      <c r="L158" s="71" t="s">
        <v>88</v>
      </c>
      <c r="M158" s="71" t="s">
        <v>56</v>
      </c>
    </row>
    <row r="159" spans="1:13">
      <c r="A159" s="71" t="s">
        <v>340</v>
      </c>
      <c r="B159" s="71" t="s">
        <v>31</v>
      </c>
      <c r="C159" s="71" t="s">
        <v>341</v>
      </c>
      <c r="D159" s="71" t="s">
        <v>33</v>
      </c>
      <c r="E159" s="71" t="s">
        <v>34</v>
      </c>
      <c r="F159" s="71">
        <v>1762</v>
      </c>
      <c r="G159" s="71">
        <v>405</v>
      </c>
      <c r="H159" s="71">
        <v>423</v>
      </c>
      <c r="I159" s="71">
        <v>22906</v>
      </c>
      <c r="J159" s="71">
        <v>21925</v>
      </c>
      <c r="K159" s="71">
        <v>25</v>
      </c>
      <c r="L159" s="71" t="s">
        <v>78</v>
      </c>
      <c r="M159" s="71" t="s">
        <v>25</v>
      </c>
    </row>
    <row r="160" spans="1:13">
      <c r="A160" s="71" t="s">
        <v>342</v>
      </c>
      <c r="B160" s="71" t="s">
        <v>41</v>
      </c>
      <c r="C160" s="71" t="s">
        <v>127</v>
      </c>
      <c r="D160" s="71" t="s">
        <v>33</v>
      </c>
      <c r="E160" s="71" t="s">
        <v>34</v>
      </c>
      <c r="F160" s="71">
        <v>2120</v>
      </c>
      <c r="G160" s="71">
        <v>158</v>
      </c>
      <c r="H160" s="71">
        <v>488</v>
      </c>
      <c r="I160" s="71">
        <v>12720</v>
      </c>
      <c r="J160" s="71">
        <v>12085</v>
      </c>
      <c r="K160" s="71">
        <v>17</v>
      </c>
      <c r="L160" s="71" t="s">
        <v>88</v>
      </c>
      <c r="M160" s="71" t="s">
        <v>25</v>
      </c>
    </row>
    <row r="161" spans="1:13">
      <c r="A161" s="71" t="s">
        <v>343</v>
      </c>
      <c r="B161" s="71" t="s">
        <v>14</v>
      </c>
      <c r="C161" s="71" t="s">
        <v>344</v>
      </c>
      <c r="D161" s="71" t="s">
        <v>70</v>
      </c>
      <c r="E161" s="71" t="s">
        <v>71</v>
      </c>
      <c r="F161" s="71">
        <v>1082</v>
      </c>
      <c r="G161" s="71">
        <v>209</v>
      </c>
      <c r="H161" s="71">
        <v>484</v>
      </c>
      <c r="I161" s="71">
        <v>19476</v>
      </c>
      <c r="J161" s="71">
        <v>18654</v>
      </c>
      <c r="K161" s="71">
        <v>20</v>
      </c>
      <c r="L161" s="71" t="s">
        <v>59</v>
      </c>
      <c r="M161" s="71" t="s">
        <v>56</v>
      </c>
    </row>
    <row r="162" spans="1:13">
      <c r="A162" s="71" t="s">
        <v>345</v>
      </c>
      <c r="B162" s="71" t="s">
        <v>14</v>
      </c>
      <c r="C162" s="71" t="s">
        <v>346</v>
      </c>
      <c r="D162" s="71" t="s">
        <v>22</v>
      </c>
      <c r="E162" s="71" t="s">
        <v>23</v>
      </c>
      <c r="F162" s="71">
        <v>4671</v>
      </c>
      <c r="G162" s="71">
        <v>876</v>
      </c>
      <c r="H162" s="71">
        <v>366</v>
      </c>
      <c r="I162" s="71">
        <v>51381</v>
      </c>
      <c r="J162" s="71">
        <v>50565</v>
      </c>
      <c r="K162" s="71">
        <v>245</v>
      </c>
      <c r="L162" s="71" t="s">
        <v>18</v>
      </c>
      <c r="M162" s="71" t="s">
        <v>25</v>
      </c>
    </row>
    <row r="163" spans="1:13">
      <c r="A163" s="71" t="s">
        <v>347</v>
      </c>
      <c r="B163" s="71" t="s">
        <v>41</v>
      </c>
      <c r="C163" s="71" t="s">
        <v>348</v>
      </c>
      <c r="D163" s="71" t="s">
        <v>33</v>
      </c>
      <c r="E163" s="71" t="s">
        <v>34</v>
      </c>
      <c r="F163" s="71">
        <v>3430</v>
      </c>
      <c r="G163" s="71">
        <v>566</v>
      </c>
      <c r="H163" s="71">
        <v>164</v>
      </c>
      <c r="I163" s="71">
        <v>48020</v>
      </c>
      <c r="J163" s="71">
        <v>47305</v>
      </c>
      <c r="K163" s="71">
        <v>120</v>
      </c>
      <c r="L163" s="71" t="s">
        <v>45</v>
      </c>
      <c r="M163" s="71" t="s">
        <v>25</v>
      </c>
    </row>
    <row r="164" spans="1:13">
      <c r="A164" s="71" t="s">
        <v>349</v>
      </c>
      <c r="B164" s="71" t="s">
        <v>31</v>
      </c>
      <c r="C164" s="71" t="s">
        <v>350</v>
      </c>
      <c r="D164" s="71" t="s">
        <v>50</v>
      </c>
      <c r="E164" s="71" t="s">
        <v>51</v>
      </c>
      <c r="F164" s="71">
        <v>4501</v>
      </c>
      <c r="G164" s="71">
        <v>375</v>
      </c>
      <c r="H164" s="71">
        <v>323</v>
      </c>
      <c r="I164" s="71">
        <v>22505</v>
      </c>
      <c r="J164" s="71">
        <v>21836</v>
      </c>
      <c r="K164" s="71">
        <v>132</v>
      </c>
      <c r="L164" s="71" t="s">
        <v>24</v>
      </c>
      <c r="M164" s="71" t="s">
        <v>56</v>
      </c>
    </row>
    <row r="165" spans="1:13">
      <c r="A165" s="71" t="s">
        <v>351</v>
      </c>
      <c r="B165" s="71" t="s">
        <v>27</v>
      </c>
      <c r="C165" s="71" t="s">
        <v>90</v>
      </c>
      <c r="D165" s="71" t="s">
        <v>22</v>
      </c>
      <c r="E165" s="71" t="s">
        <v>23</v>
      </c>
      <c r="F165" s="71">
        <v>4934</v>
      </c>
      <c r="G165" s="71">
        <v>971</v>
      </c>
      <c r="H165" s="71">
        <v>156</v>
      </c>
      <c r="I165" s="71">
        <v>39472</v>
      </c>
      <c r="J165" s="71">
        <v>39025</v>
      </c>
      <c r="K165" s="71">
        <v>169</v>
      </c>
      <c r="L165" s="71" t="s">
        <v>265</v>
      </c>
      <c r="M165" s="71" t="s">
        <v>25</v>
      </c>
    </row>
    <row r="166" spans="1:13">
      <c r="A166" s="71" t="s">
        <v>352</v>
      </c>
      <c r="B166" s="71" t="s">
        <v>14</v>
      </c>
      <c r="C166" s="71" t="s">
        <v>233</v>
      </c>
      <c r="D166" s="71" t="s">
        <v>22</v>
      </c>
      <c r="E166" s="71" t="s">
        <v>23</v>
      </c>
      <c r="F166" s="71">
        <v>3239</v>
      </c>
      <c r="G166" s="71">
        <v>43</v>
      </c>
      <c r="H166" s="71">
        <v>211</v>
      </c>
      <c r="I166" s="71">
        <v>22673</v>
      </c>
      <c r="J166" s="71">
        <v>22171</v>
      </c>
      <c r="K166" s="71">
        <v>230</v>
      </c>
      <c r="L166" s="71" t="s">
        <v>215</v>
      </c>
      <c r="M166" s="71" t="s">
        <v>25</v>
      </c>
    </row>
    <row r="167" spans="1:13">
      <c r="A167" s="71" t="s">
        <v>353</v>
      </c>
      <c r="B167" s="71" t="s">
        <v>14</v>
      </c>
      <c r="C167" s="71" t="s">
        <v>66</v>
      </c>
      <c r="D167" s="71" t="s">
        <v>16</v>
      </c>
      <c r="E167" s="71" t="s">
        <v>17</v>
      </c>
      <c r="F167" s="71">
        <v>1076</v>
      </c>
      <c r="G167" s="71">
        <v>313</v>
      </c>
      <c r="H167" s="71">
        <v>306</v>
      </c>
      <c r="I167" s="71">
        <v>11836</v>
      </c>
      <c r="J167" s="71">
        <v>11596</v>
      </c>
      <c r="K167" s="71">
        <v>104</v>
      </c>
      <c r="L167" s="71" t="s">
        <v>78</v>
      </c>
      <c r="M167" s="71" t="s">
        <v>25</v>
      </c>
    </row>
    <row r="168" spans="1:13">
      <c r="A168" s="71" t="s">
        <v>354</v>
      </c>
      <c r="B168" s="71" t="s">
        <v>31</v>
      </c>
      <c r="C168" s="71" t="s">
        <v>305</v>
      </c>
      <c r="D168" s="71" t="s">
        <v>22</v>
      </c>
      <c r="E168" s="71" t="s">
        <v>23</v>
      </c>
      <c r="F168" s="71">
        <v>4771</v>
      </c>
      <c r="G168" s="71">
        <v>818</v>
      </c>
      <c r="H168" s="71">
        <v>56</v>
      </c>
      <c r="I168" s="71">
        <v>57252</v>
      </c>
      <c r="J168" s="71">
        <v>56378</v>
      </c>
      <c r="K168" s="71">
        <v>150</v>
      </c>
      <c r="L168" s="71" t="s">
        <v>18</v>
      </c>
      <c r="M168" s="71" t="s">
        <v>25</v>
      </c>
    </row>
    <row r="169" spans="1:13">
      <c r="A169" s="71" t="s">
        <v>355</v>
      </c>
      <c r="B169" s="71" t="s">
        <v>41</v>
      </c>
      <c r="C169" s="71" t="s">
        <v>356</v>
      </c>
      <c r="D169" s="71" t="s">
        <v>22</v>
      </c>
      <c r="E169" s="71" t="s">
        <v>23</v>
      </c>
      <c r="F169" s="71">
        <v>2418</v>
      </c>
      <c r="G169" s="71">
        <v>754</v>
      </c>
      <c r="H169" s="71">
        <v>54</v>
      </c>
      <c r="I169" s="71">
        <v>43524</v>
      </c>
      <c r="J169" s="71">
        <v>42743</v>
      </c>
      <c r="K169" s="71">
        <v>182</v>
      </c>
      <c r="L169" s="71" t="s">
        <v>286</v>
      </c>
      <c r="M169" s="71" t="s">
        <v>56</v>
      </c>
    </row>
    <row r="170" spans="1:13">
      <c r="A170" s="71" t="s">
        <v>357</v>
      </c>
      <c r="B170" s="71" t="s">
        <v>27</v>
      </c>
      <c r="C170" s="71" t="s">
        <v>358</v>
      </c>
      <c r="D170" s="71" t="s">
        <v>70</v>
      </c>
      <c r="E170" s="71" t="s">
        <v>71</v>
      </c>
      <c r="F170" s="71">
        <v>3809</v>
      </c>
      <c r="G170" s="71">
        <v>273</v>
      </c>
      <c r="H170" s="71">
        <v>200</v>
      </c>
      <c r="I170" s="71">
        <v>34281</v>
      </c>
      <c r="J170" s="71">
        <v>33534</v>
      </c>
      <c r="K170" s="71">
        <v>83</v>
      </c>
      <c r="L170" s="71" t="s">
        <v>45</v>
      </c>
      <c r="M170" s="71" t="s">
        <v>39</v>
      </c>
    </row>
    <row r="171" spans="1:13">
      <c r="A171" s="71" t="s">
        <v>359</v>
      </c>
      <c r="B171" s="71" t="s">
        <v>14</v>
      </c>
      <c r="C171" s="71" t="s">
        <v>360</v>
      </c>
      <c r="D171" s="71" t="s">
        <v>22</v>
      </c>
      <c r="E171" s="71" t="s">
        <v>23</v>
      </c>
      <c r="F171" s="71">
        <v>3577</v>
      </c>
      <c r="G171" s="71">
        <v>596</v>
      </c>
      <c r="H171" s="71">
        <v>493</v>
      </c>
      <c r="I171" s="71">
        <v>67963</v>
      </c>
      <c r="J171" s="71">
        <v>67839</v>
      </c>
      <c r="K171" s="71">
        <v>53</v>
      </c>
      <c r="L171" s="71" t="s">
        <v>88</v>
      </c>
      <c r="M171" s="71" t="s">
        <v>56</v>
      </c>
    </row>
    <row r="172" spans="1:13">
      <c r="A172" s="71" t="s">
        <v>361</v>
      </c>
      <c r="B172" s="71" t="s">
        <v>27</v>
      </c>
      <c r="C172" s="71" t="s">
        <v>362</v>
      </c>
      <c r="D172" s="71" t="s">
        <v>70</v>
      </c>
      <c r="E172" s="71" t="s">
        <v>71</v>
      </c>
      <c r="F172" s="71">
        <v>1018</v>
      </c>
      <c r="G172" s="71">
        <v>447</v>
      </c>
      <c r="H172" s="71">
        <v>332</v>
      </c>
      <c r="I172" s="71">
        <v>18324</v>
      </c>
      <c r="J172" s="71">
        <v>18164</v>
      </c>
      <c r="K172" s="71">
        <v>38</v>
      </c>
      <c r="L172" s="71" t="s">
        <v>67</v>
      </c>
      <c r="M172" s="71" t="s">
        <v>56</v>
      </c>
    </row>
    <row r="173" spans="1:13">
      <c r="A173" s="71" t="s">
        <v>363</v>
      </c>
      <c r="B173" s="71" t="s">
        <v>41</v>
      </c>
      <c r="C173" s="71" t="s">
        <v>364</v>
      </c>
      <c r="D173" s="71" t="s">
        <v>43</v>
      </c>
      <c r="E173" s="71" t="s">
        <v>44</v>
      </c>
      <c r="F173" s="71">
        <v>3073</v>
      </c>
      <c r="G173" s="71">
        <v>553</v>
      </c>
      <c r="H173" s="71">
        <v>174</v>
      </c>
      <c r="I173" s="71">
        <v>52241</v>
      </c>
      <c r="J173" s="71">
        <v>51605</v>
      </c>
      <c r="K173" s="71">
        <v>246</v>
      </c>
      <c r="L173" s="71" t="s">
        <v>147</v>
      </c>
      <c r="M173" s="71" t="s">
        <v>56</v>
      </c>
    </row>
    <row r="174" spans="1:13">
      <c r="A174" s="71" t="s">
        <v>365</v>
      </c>
      <c r="B174" s="71" t="s">
        <v>14</v>
      </c>
      <c r="C174" s="71" t="s">
        <v>366</v>
      </c>
      <c r="D174" s="71" t="s">
        <v>70</v>
      </c>
      <c r="E174" s="71" t="s">
        <v>71</v>
      </c>
      <c r="F174" s="71">
        <v>1330</v>
      </c>
      <c r="G174" s="71">
        <v>925</v>
      </c>
      <c r="H174" s="71">
        <v>35</v>
      </c>
      <c r="I174" s="71">
        <v>15960</v>
      </c>
      <c r="J174" s="71">
        <v>15379</v>
      </c>
      <c r="K174" s="71">
        <v>229</v>
      </c>
      <c r="L174" s="71" t="s">
        <v>179</v>
      </c>
      <c r="M174" s="71" t="s">
        <v>56</v>
      </c>
    </row>
    <row r="175" spans="1:13">
      <c r="A175" s="71" t="s">
        <v>367</v>
      </c>
      <c r="B175" s="71" t="s">
        <v>41</v>
      </c>
      <c r="C175" s="71" t="s">
        <v>169</v>
      </c>
      <c r="D175" s="71" t="s">
        <v>22</v>
      </c>
      <c r="E175" s="71" t="s">
        <v>23</v>
      </c>
      <c r="F175" s="71">
        <v>3828</v>
      </c>
      <c r="G175" s="71">
        <v>148</v>
      </c>
      <c r="H175" s="71">
        <v>253</v>
      </c>
      <c r="I175" s="71">
        <v>30624</v>
      </c>
      <c r="J175" s="71">
        <v>30229</v>
      </c>
      <c r="K175" s="71">
        <v>235</v>
      </c>
      <c r="L175" s="71" t="s">
        <v>83</v>
      </c>
      <c r="M175" s="71" t="s">
        <v>56</v>
      </c>
    </row>
    <row r="176" spans="1:13">
      <c r="A176" s="71" t="s">
        <v>368</v>
      </c>
      <c r="B176" s="71" t="s">
        <v>31</v>
      </c>
      <c r="C176" s="71" t="s">
        <v>369</v>
      </c>
      <c r="D176" s="71" t="s">
        <v>16</v>
      </c>
      <c r="E176" s="71" t="s">
        <v>17</v>
      </c>
      <c r="F176" s="71">
        <v>142</v>
      </c>
      <c r="G176" s="71">
        <v>784</v>
      </c>
      <c r="H176" s="71">
        <v>183</v>
      </c>
      <c r="I176" s="71">
        <v>1704</v>
      </c>
      <c r="J176" s="71">
        <v>995</v>
      </c>
      <c r="K176" s="71">
        <v>154</v>
      </c>
      <c r="L176" s="71" t="s">
        <v>18</v>
      </c>
      <c r="M176" s="71" t="s">
        <v>19</v>
      </c>
    </row>
    <row r="177" spans="1:13">
      <c r="A177" s="71" t="s">
        <v>370</v>
      </c>
      <c r="B177" s="71" t="s">
        <v>41</v>
      </c>
      <c r="C177" s="71" t="s">
        <v>371</v>
      </c>
      <c r="D177" s="71" t="s">
        <v>70</v>
      </c>
      <c r="E177" s="71" t="s">
        <v>71</v>
      </c>
      <c r="F177" s="71">
        <v>3798</v>
      </c>
      <c r="G177" s="71">
        <v>31</v>
      </c>
      <c r="H177" s="71">
        <v>279</v>
      </c>
      <c r="I177" s="71">
        <v>75960</v>
      </c>
      <c r="J177" s="71">
        <v>75813</v>
      </c>
      <c r="K177" s="71">
        <v>266</v>
      </c>
      <c r="L177" s="71" t="s">
        <v>24</v>
      </c>
      <c r="M177" s="71" t="s">
        <v>25</v>
      </c>
    </row>
    <row r="178" spans="1:13">
      <c r="A178" s="71" t="s">
        <v>372</v>
      </c>
      <c r="B178" s="71" t="s">
        <v>31</v>
      </c>
      <c r="C178" s="71" t="s">
        <v>373</v>
      </c>
      <c r="D178" s="71" t="s">
        <v>43</v>
      </c>
      <c r="E178" s="71" t="s">
        <v>44</v>
      </c>
      <c r="F178" s="71">
        <v>3099</v>
      </c>
      <c r="G178" s="71">
        <v>694</v>
      </c>
      <c r="H178" s="71">
        <v>171</v>
      </c>
      <c r="I178" s="71">
        <v>43386</v>
      </c>
      <c r="J178" s="71">
        <v>42921</v>
      </c>
      <c r="K178" s="71">
        <v>52</v>
      </c>
      <c r="L178" s="71" t="s">
        <v>78</v>
      </c>
      <c r="M178" s="71" t="s">
        <v>56</v>
      </c>
    </row>
    <row r="179" spans="1:13">
      <c r="A179" s="71" t="s">
        <v>374</v>
      </c>
      <c r="B179" s="71" t="s">
        <v>31</v>
      </c>
      <c r="C179" s="71" t="s">
        <v>202</v>
      </c>
      <c r="D179" s="71" t="s">
        <v>70</v>
      </c>
      <c r="E179" s="71" t="s">
        <v>71</v>
      </c>
      <c r="F179" s="71">
        <v>129</v>
      </c>
      <c r="G179" s="71">
        <v>643</v>
      </c>
      <c r="H179" s="71">
        <v>136</v>
      </c>
      <c r="I179" s="71">
        <v>1290</v>
      </c>
      <c r="J179" s="71">
        <v>839</v>
      </c>
      <c r="K179" s="71">
        <v>238</v>
      </c>
      <c r="L179" s="71" t="s">
        <v>163</v>
      </c>
      <c r="M179" s="71" t="s">
        <v>56</v>
      </c>
    </row>
    <row r="180" spans="1:13">
      <c r="A180" s="71" t="s">
        <v>375</v>
      </c>
      <c r="B180" s="71" t="s">
        <v>41</v>
      </c>
      <c r="C180" s="71" t="s">
        <v>313</v>
      </c>
      <c r="D180" s="71" t="s">
        <v>43</v>
      </c>
      <c r="E180" s="71" t="s">
        <v>44</v>
      </c>
      <c r="F180" s="71">
        <v>3796</v>
      </c>
      <c r="G180" s="71">
        <v>667</v>
      </c>
      <c r="H180" s="71">
        <v>395</v>
      </c>
      <c r="I180" s="71">
        <v>64532</v>
      </c>
      <c r="J180" s="71">
        <v>63550</v>
      </c>
      <c r="K180" s="71">
        <v>292</v>
      </c>
      <c r="L180" s="71" t="s">
        <v>59</v>
      </c>
      <c r="M180" s="71" t="s">
        <v>19</v>
      </c>
    </row>
    <row r="181" spans="1:13">
      <c r="A181" s="71" t="s">
        <v>376</v>
      </c>
      <c r="B181" s="71" t="s">
        <v>27</v>
      </c>
      <c r="C181" s="71" t="s">
        <v>358</v>
      </c>
      <c r="D181" s="71" t="s">
        <v>22</v>
      </c>
      <c r="E181" s="71" t="s">
        <v>23</v>
      </c>
      <c r="F181" s="71">
        <v>3711</v>
      </c>
      <c r="G181" s="71">
        <v>352</v>
      </c>
      <c r="H181" s="71">
        <v>290</v>
      </c>
      <c r="I181" s="71">
        <v>48243</v>
      </c>
      <c r="J181" s="71">
        <v>47579</v>
      </c>
      <c r="K181" s="71">
        <v>11</v>
      </c>
      <c r="L181" s="71" t="s">
        <v>163</v>
      </c>
      <c r="M181" s="71" t="s">
        <v>56</v>
      </c>
    </row>
    <row r="182" spans="1:13">
      <c r="A182" s="71" t="s">
        <v>377</v>
      </c>
      <c r="B182" s="71" t="s">
        <v>27</v>
      </c>
      <c r="C182" s="71" t="s">
        <v>378</v>
      </c>
      <c r="D182" s="71" t="s">
        <v>50</v>
      </c>
      <c r="E182" s="71" t="s">
        <v>51</v>
      </c>
      <c r="F182" s="71">
        <v>606</v>
      </c>
      <c r="G182" s="71">
        <v>789</v>
      </c>
      <c r="H182" s="71">
        <v>470</v>
      </c>
      <c r="I182" s="71">
        <v>7878</v>
      </c>
      <c r="J182" s="71">
        <v>7389</v>
      </c>
      <c r="K182" s="71">
        <v>239</v>
      </c>
      <c r="L182" s="71" t="s">
        <v>18</v>
      </c>
      <c r="M182" s="71" t="s">
        <v>25</v>
      </c>
    </row>
    <row r="183" spans="1:13">
      <c r="A183" s="71" t="s">
        <v>379</v>
      </c>
      <c r="B183" s="71" t="s">
        <v>41</v>
      </c>
      <c r="C183" s="71" t="s">
        <v>112</v>
      </c>
      <c r="D183" s="71" t="s">
        <v>50</v>
      </c>
      <c r="E183" s="71" t="s">
        <v>51</v>
      </c>
      <c r="F183" s="71">
        <v>4689</v>
      </c>
      <c r="G183" s="71">
        <v>134</v>
      </c>
      <c r="H183" s="71">
        <v>403</v>
      </c>
      <c r="I183" s="71">
        <v>51579</v>
      </c>
      <c r="J183" s="71">
        <v>50924</v>
      </c>
      <c r="K183" s="71">
        <v>173</v>
      </c>
      <c r="L183" s="71" t="s">
        <v>78</v>
      </c>
      <c r="M183" s="71" t="s">
        <v>19</v>
      </c>
    </row>
    <row r="184" spans="1:13">
      <c r="A184" s="71" t="s">
        <v>380</v>
      </c>
      <c r="B184" s="71" t="s">
        <v>31</v>
      </c>
      <c r="C184" s="71" t="s">
        <v>381</v>
      </c>
      <c r="D184" s="71" t="s">
        <v>33</v>
      </c>
      <c r="E184" s="71" t="s">
        <v>34</v>
      </c>
      <c r="F184" s="71">
        <v>360</v>
      </c>
      <c r="G184" s="71">
        <v>590</v>
      </c>
      <c r="H184" s="71">
        <v>393</v>
      </c>
      <c r="I184" s="71">
        <v>4680</v>
      </c>
      <c r="J184" s="71">
        <v>4322</v>
      </c>
      <c r="K184" s="71">
        <v>208</v>
      </c>
      <c r="L184" s="71" t="s">
        <v>163</v>
      </c>
      <c r="M184" s="71" t="s">
        <v>25</v>
      </c>
    </row>
    <row r="185" spans="1:13">
      <c r="A185" s="71" t="s">
        <v>382</v>
      </c>
      <c r="B185" s="71" t="s">
        <v>14</v>
      </c>
      <c r="C185" s="71" t="s">
        <v>383</v>
      </c>
      <c r="D185" s="71" t="s">
        <v>50</v>
      </c>
      <c r="E185" s="71" t="s">
        <v>51</v>
      </c>
      <c r="F185" s="71">
        <v>3215</v>
      </c>
      <c r="G185" s="71">
        <v>960</v>
      </c>
      <c r="H185" s="71">
        <v>202</v>
      </c>
      <c r="I185" s="71">
        <v>32150</v>
      </c>
      <c r="J185" s="71">
        <v>31404</v>
      </c>
      <c r="K185" s="71">
        <v>251</v>
      </c>
      <c r="L185" s="71" t="s">
        <v>59</v>
      </c>
      <c r="M185" s="71" t="s">
        <v>39</v>
      </c>
    </row>
    <row r="186" spans="1:13">
      <c r="A186" s="71" t="s">
        <v>384</v>
      </c>
      <c r="B186" s="71" t="s">
        <v>31</v>
      </c>
      <c r="C186" s="71" t="s">
        <v>385</v>
      </c>
      <c r="D186" s="71" t="s">
        <v>43</v>
      </c>
      <c r="E186" s="71" t="s">
        <v>44</v>
      </c>
      <c r="F186" s="71">
        <v>4523</v>
      </c>
      <c r="G186" s="71">
        <v>61</v>
      </c>
      <c r="H186" s="71">
        <v>157</v>
      </c>
      <c r="I186" s="71">
        <v>49753</v>
      </c>
      <c r="J186" s="71">
        <v>49329</v>
      </c>
      <c r="K186" s="71">
        <v>71</v>
      </c>
      <c r="L186" s="71" t="s">
        <v>103</v>
      </c>
      <c r="M186" s="71" t="s">
        <v>56</v>
      </c>
    </row>
    <row r="187" spans="1:13">
      <c r="A187" s="71" t="s">
        <v>386</v>
      </c>
      <c r="B187" s="71" t="s">
        <v>41</v>
      </c>
      <c r="C187" s="71" t="s">
        <v>344</v>
      </c>
      <c r="D187" s="71" t="s">
        <v>43</v>
      </c>
      <c r="E187" s="71" t="s">
        <v>44</v>
      </c>
      <c r="F187" s="71">
        <v>4292</v>
      </c>
      <c r="G187" s="71">
        <v>51</v>
      </c>
      <c r="H187" s="71">
        <v>392</v>
      </c>
      <c r="I187" s="71">
        <v>55796</v>
      </c>
      <c r="J187" s="71">
        <v>54826</v>
      </c>
      <c r="K187" s="71">
        <v>264</v>
      </c>
      <c r="L187" s="71" t="s">
        <v>215</v>
      </c>
      <c r="M187" s="71" t="s">
        <v>19</v>
      </c>
    </row>
    <row r="188" spans="1:13">
      <c r="A188" s="71" t="s">
        <v>387</v>
      </c>
      <c r="B188" s="71" t="s">
        <v>14</v>
      </c>
      <c r="C188" s="71" t="s">
        <v>388</v>
      </c>
      <c r="D188" s="71" t="s">
        <v>16</v>
      </c>
      <c r="E188" s="71" t="s">
        <v>17</v>
      </c>
      <c r="F188" s="71">
        <v>1644</v>
      </c>
      <c r="G188" s="71">
        <v>546</v>
      </c>
      <c r="H188" s="71">
        <v>150</v>
      </c>
      <c r="I188" s="71">
        <v>27948</v>
      </c>
      <c r="J188" s="71">
        <v>27184</v>
      </c>
      <c r="K188" s="71">
        <v>300</v>
      </c>
      <c r="L188" s="71" t="s">
        <v>103</v>
      </c>
      <c r="M188" s="71" t="s">
        <v>19</v>
      </c>
    </row>
    <row r="189" spans="1:13">
      <c r="A189" s="71" t="s">
        <v>389</v>
      </c>
      <c r="B189" s="71" t="s">
        <v>27</v>
      </c>
      <c r="C189" s="71" t="s">
        <v>222</v>
      </c>
      <c r="D189" s="71" t="s">
        <v>16</v>
      </c>
      <c r="E189" s="71" t="s">
        <v>17</v>
      </c>
      <c r="F189" s="71">
        <v>2728</v>
      </c>
      <c r="G189" s="71">
        <v>533</v>
      </c>
      <c r="H189" s="71">
        <v>215</v>
      </c>
      <c r="I189" s="71">
        <v>40920</v>
      </c>
      <c r="J189" s="71">
        <v>40816</v>
      </c>
      <c r="K189" s="71">
        <v>137</v>
      </c>
      <c r="L189" s="71" t="s">
        <v>18</v>
      </c>
      <c r="M189" s="71" t="s">
        <v>25</v>
      </c>
    </row>
    <row r="190" spans="1:13">
      <c r="A190" s="71" t="s">
        <v>390</v>
      </c>
      <c r="B190" s="71" t="s">
        <v>41</v>
      </c>
      <c r="C190" s="71" t="s">
        <v>230</v>
      </c>
      <c r="D190" s="71" t="s">
        <v>16</v>
      </c>
      <c r="E190" s="71" t="s">
        <v>17</v>
      </c>
      <c r="F190" s="71">
        <v>3360</v>
      </c>
      <c r="G190" s="71">
        <v>525</v>
      </c>
      <c r="H190" s="71">
        <v>500</v>
      </c>
      <c r="I190" s="71">
        <v>60480</v>
      </c>
      <c r="J190" s="71">
        <v>59610</v>
      </c>
      <c r="K190" s="71">
        <v>192</v>
      </c>
      <c r="L190" s="71" t="s">
        <v>83</v>
      </c>
      <c r="M190" s="71" t="s">
        <v>19</v>
      </c>
    </row>
    <row r="191" spans="1:13">
      <c r="A191" s="71" t="s">
        <v>391</v>
      </c>
      <c r="B191" s="71" t="s">
        <v>27</v>
      </c>
      <c r="C191" s="71" t="s">
        <v>392</v>
      </c>
      <c r="D191" s="71" t="s">
        <v>22</v>
      </c>
      <c r="E191" s="71" t="s">
        <v>23</v>
      </c>
      <c r="F191" s="71">
        <v>1963</v>
      </c>
      <c r="G191" s="71">
        <v>213</v>
      </c>
      <c r="H191" s="71">
        <v>19</v>
      </c>
      <c r="I191" s="71">
        <v>39260</v>
      </c>
      <c r="J191" s="71">
        <v>38771</v>
      </c>
      <c r="K191" s="71">
        <v>145</v>
      </c>
      <c r="L191" s="71" t="s">
        <v>59</v>
      </c>
      <c r="M191" s="71" t="s">
        <v>19</v>
      </c>
    </row>
    <row r="192" spans="1:13">
      <c r="A192" s="71" t="s">
        <v>393</v>
      </c>
      <c r="B192" s="71" t="s">
        <v>27</v>
      </c>
      <c r="C192" s="71" t="s">
        <v>358</v>
      </c>
      <c r="D192" s="71" t="s">
        <v>33</v>
      </c>
      <c r="E192" s="71" t="s">
        <v>34</v>
      </c>
      <c r="F192" s="71">
        <v>4285</v>
      </c>
      <c r="G192" s="71">
        <v>886</v>
      </c>
      <c r="H192" s="71">
        <v>376</v>
      </c>
      <c r="I192" s="71">
        <v>55705</v>
      </c>
      <c r="J192" s="71">
        <v>55556</v>
      </c>
      <c r="K192" s="71">
        <v>51</v>
      </c>
      <c r="L192" s="71" t="s">
        <v>72</v>
      </c>
      <c r="M192" s="71" t="s">
        <v>56</v>
      </c>
    </row>
    <row r="193" spans="1:13">
      <c r="A193" s="71" t="s">
        <v>394</v>
      </c>
      <c r="B193" s="71" t="s">
        <v>31</v>
      </c>
      <c r="C193" s="71" t="s">
        <v>395</v>
      </c>
      <c r="D193" s="71" t="s">
        <v>70</v>
      </c>
      <c r="E193" s="71" t="s">
        <v>71</v>
      </c>
      <c r="F193" s="71">
        <v>1176</v>
      </c>
      <c r="G193" s="71">
        <v>464</v>
      </c>
      <c r="H193" s="71">
        <v>394</v>
      </c>
      <c r="I193" s="71">
        <v>14112</v>
      </c>
      <c r="J193" s="71">
        <v>13588</v>
      </c>
      <c r="K193" s="71">
        <v>272</v>
      </c>
      <c r="L193" s="71" t="s">
        <v>78</v>
      </c>
      <c r="M193" s="71" t="s">
        <v>19</v>
      </c>
    </row>
    <row r="194" spans="1:13">
      <c r="A194" s="71" t="s">
        <v>396</v>
      </c>
      <c r="B194" s="71" t="s">
        <v>14</v>
      </c>
      <c r="C194" s="71" t="s">
        <v>397</v>
      </c>
      <c r="D194" s="71" t="s">
        <v>50</v>
      </c>
      <c r="E194" s="71" t="s">
        <v>51</v>
      </c>
      <c r="F194" s="71">
        <v>4858</v>
      </c>
      <c r="G194" s="71">
        <v>317</v>
      </c>
      <c r="H194" s="71">
        <v>129</v>
      </c>
      <c r="I194" s="71">
        <v>53438</v>
      </c>
      <c r="J194" s="71">
        <v>52687</v>
      </c>
      <c r="K194" s="71">
        <v>223</v>
      </c>
      <c r="L194" s="71" t="s">
        <v>179</v>
      </c>
      <c r="M194" s="71" t="s">
        <v>19</v>
      </c>
    </row>
    <row r="195" spans="1:13">
      <c r="A195" s="71" t="s">
        <v>398</v>
      </c>
      <c r="B195" s="71" t="s">
        <v>27</v>
      </c>
      <c r="C195" s="71" t="s">
        <v>271</v>
      </c>
      <c r="D195" s="71" t="s">
        <v>33</v>
      </c>
      <c r="E195" s="71" t="s">
        <v>34</v>
      </c>
      <c r="F195" s="71">
        <v>4350</v>
      </c>
      <c r="G195" s="71">
        <v>771</v>
      </c>
      <c r="H195" s="71">
        <v>7</v>
      </c>
      <c r="I195" s="71">
        <v>60900</v>
      </c>
      <c r="J195" s="71">
        <v>60592</v>
      </c>
      <c r="K195" s="71">
        <v>195</v>
      </c>
      <c r="L195" s="71" t="s">
        <v>265</v>
      </c>
      <c r="M195" s="71" t="s">
        <v>25</v>
      </c>
    </row>
    <row r="196" spans="1:13">
      <c r="A196" s="71" t="s">
        <v>399</v>
      </c>
      <c r="B196" s="71" t="s">
        <v>31</v>
      </c>
      <c r="C196" s="71" t="s">
        <v>400</v>
      </c>
      <c r="D196" s="71" t="s">
        <v>43</v>
      </c>
      <c r="E196" s="71" t="s">
        <v>44</v>
      </c>
      <c r="F196" s="71">
        <v>914</v>
      </c>
      <c r="G196" s="71">
        <v>464</v>
      </c>
      <c r="H196" s="71">
        <v>246</v>
      </c>
      <c r="I196" s="71">
        <v>11882</v>
      </c>
      <c r="J196" s="71">
        <v>11500</v>
      </c>
      <c r="K196" s="71">
        <v>282</v>
      </c>
      <c r="L196" s="71" t="s">
        <v>286</v>
      </c>
      <c r="M196" s="71" t="s">
        <v>39</v>
      </c>
    </row>
    <row r="197" spans="1:13">
      <c r="A197" s="71" t="s">
        <v>401</v>
      </c>
      <c r="B197" s="71" t="s">
        <v>31</v>
      </c>
      <c r="C197" s="71" t="s">
        <v>402</v>
      </c>
      <c r="D197" s="71" t="s">
        <v>22</v>
      </c>
      <c r="E197" s="71" t="s">
        <v>23</v>
      </c>
      <c r="F197" s="71">
        <v>1813</v>
      </c>
      <c r="G197" s="71">
        <v>623</v>
      </c>
      <c r="H197" s="71">
        <v>72</v>
      </c>
      <c r="I197" s="71">
        <v>19943</v>
      </c>
      <c r="J197" s="71">
        <v>18959</v>
      </c>
      <c r="K197" s="71">
        <v>85</v>
      </c>
      <c r="L197" s="71" t="s">
        <v>106</v>
      </c>
      <c r="M197" s="71" t="s">
        <v>39</v>
      </c>
    </row>
    <row r="198" spans="1:13">
      <c r="A198" s="71" t="s">
        <v>403</v>
      </c>
      <c r="B198" s="71" t="s">
        <v>14</v>
      </c>
      <c r="C198" s="71" t="s">
        <v>337</v>
      </c>
      <c r="D198" s="71" t="s">
        <v>16</v>
      </c>
      <c r="E198" s="71" t="s">
        <v>17</v>
      </c>
      <c r="F198" s="71">
        <v>4782</v>
      </c>
      <c r="G198" s="71">
        <v>721</v>
      </c>
      <c r="H198" s="71">
        <v>82</v>
      </c>
      <c r="I198" s="71">
        <v>86076</v>
      </c>
      <c r="J198" s="71">
        <v>85339</v>
      </c>
      <c r="K198" s="71">
        <v>19</v>
      </c>
      <c r="L198" s="71" t="s">
        <v>78</v>
      </c>
      <c r="M198" s="71" t="s">
        <v>25</v>
      </c>
    </row>
    <row r="199" spans="1:13">
      <c r="A199" s="71" t="s">
        <v>404</v>
      </c>
      <c r="B199" s="71" t="s">
        <v>14</v>
      </c>
      <c r="C199" s="71" t="s">
        <v>405</v>
      </c>
      <c r="D199" s="71" t="s">
        <v>50</v>
      </c>
      <c r="E199" s="71" t="s">
        <v>51</v>
      </c>
      <c r="F199" s="71">
        <v>1048</v>
      </c>
      <c r="G199" s="71">
        <v>374</v>
      </c>
      <c r="H199" s="71">
        <v>450</v>
      </c>
      <c r="I199" s="71">
        <v>9432</v>
      </c>
      <c r="J199" s="71">
        <v>8882</v>
      </c>
      <c r="K199" s="71">
        <v>158</v>
      </c>
      <c r="L199" s="71" t="s">
        <v>210</v>
      </c>
      <c r="M199" s="71" t="s">
        <v>25</v>
      </c>
    </row>
    <row r="200" spans="1:13">
      <c r="A200" s="71" t="s">
        <v>406</v>
      </c>
      <c r="B200" s="71" t="s">
        <v>27</v>
      </c>
      <c r="C200" s="71" t="s">
        <v>119</v>
      </c>
      <c r="D200" s="71" t="s">
        <v>43</v>
      </c>
      <c r="E200" s="71" t="s">
        <v>44</v>
      </c>
      <c r="F200" s="71">
        <v>2509</v>
      </c>
      <c r="G200" s="71">
        <v>324</v>
      </c>
      <c r="H200" s="71">
        <v>171</v>
      </c>
      <c r="I200" s="71">
        <v>35126</v>
      </c>
      <c r="J200" s="71">
        <v>34685</v>
      </c>
      <c r="K200" s="71">
        <v>277</v>
      </c>
      <c r="L200" s="71" t="s">
        <v>78</v>
      </c>
      <c r="M200" s="71" t="s">
        <v>25</v>
      </c>
    </row>
    <row r="201" spans="1:13">
      <c r="A201" s="71" t="s">
        <v>407</v>
      </c>
      <c r="B201" s="71" t="s">
        <v>41</v>
      </c>
      <c r="C201" s="71" t="s">
        <v>408</v>
      </c>
      <c r="D201" s="71" t="s">
        <v>16</v>
      </c>
      <c r="E201" s="71" t="s">
        <v>17</v>
      </c>
      <c r="F201" s="71">
        <v>3718</v>
      </c>
      <c r="G201" s="71">
        <v>385</v>
      </c>
      <c r="H201" s="71">
        <v>310</v>
      </c>
      <c r="I201" s="71">
        <v>70642</v>
      </c>
      <c r="J201" s="71">
        <v>69749</v>
      </c>
      <c r="K201" s="71">
        <v>233</v>
      </c>
      <c r="L201" s="71" t="s">
        <v>45</v>
      </c>
      <c r="M201" s="71" t="s">
        <v>19</v>
      </c>
    </row>
    <row r="202" spans="1:13">
      <c r="A202" s="71" t="s">
        <v>409</v>
      </c>
      <c r="B202" s="71" t="s">
        <v>14</v>
      </c>
      <c r="C202" s="71" t="s">
        <v>410</v>
      </c>
      <c r="D202" s="71" t="s">
        <v>16</v>
      </c>
      <c r="E202" s="71" t="s">
        <v>17</v>
      </c>
      <c r="F202" s="71">
        <v>802</v>
      </c>
      <c r="G202" s="71">
        <v>262</v>
      </c>
      <c r="H202" s="71">
        <v>244</v>
      </c>
      <c r="I202" s="71">
        <v>14436</v>
      </c>
      <c r="J202" s="71">
        <v>14280</v>
      </c>
      <c r="K202" s="71">
        <v>49</v>
      </c>
      <c r="L202" s="71" t="s">
        <v>75</v>
      </c>
      <c r="M202" s="71" t="s">
        <v>56</v>
      </c>
    </row>
    <row r="203" spans="1:13">
      <c r="A203" s="71" t="s">
        <v>411</v>
      </c>
      <c r="B203" s="71" t="s">
        <v>41</v>
      </c>
      <c r="C203" s="71" t="s">
        <v>412</v>
      </c>
      <c r="D203" s="71" t="s">
        <v>50</v>
      </c>
      <c r="E203" s="71" t="s">
        <v>51</v>
      </c>
      <c r="F203" s="71">
        <v>1871</v>
      </c>
      <c r="G203" s="71">
        <v>252</v>
      </c>
      <c r="H203" s="71">
        <v>335</v>
      </c>
      <c r="I203" s="71">
        <v>29936</v>
      </c>
      <c r="J203" s="71">
        <v>29576</v>
      </c>
      <c r="K203" s="71">
        <v>288</v>
      </c>
      <c r="L203" s="71" t="s">
        <v>45</v>
      </c>
      <c r="M203" s="71" t="s">
        <v>25</v>
      </c>
    </row>
    <row r="204" spans="1:13">
      <c r="A204" s="71" t="s">
        <v>413</v>
      </c>
      <c r="B204" s="71" t="s">
        <v>31</v>
      </c>
      <c r="C204" s="71" t="s">
        <v>414</v>
      </c>
      <c r="D204" s="71" t="s">
        <v>43</v>
      </c>
      <c r="E204" s="71" t="s">
        <v>44</v>
      </c>
      <c r="F204" s="71">
        <v>3773</v>
      </c>
      <c r="G204" s="71">
        <v>299</v>
      </c>
      <c r="H204" s="71">
        <v>38</v>
      </c>
      <c r="I204" s="71">
        <v>71687</v>
      </c>
      <c r="J204" s="71">
        <v>71447</v>
      </c>
      <c r="K204" s="71">
        <v>286</v>
      </c>
      <c r="L204" s="71" t="s">
        <v>45</v>
      </c>
      <c r="M204" s="71" t="s">
        <v>56</v>
      </c>
    </row>
    <row r="205" spans="1:13">
      <c r="A205" s="71" t="s">
        <v>415</v>
      </c>
      <c r="B205" s="71" t="s">
        <v>31</v>
      </c>
      <c r="C205" s="71" t="s">
        <v>332</v>
      </c>
      <c r="D205" s="71" t="s">
        <v>43</v>
      </c>
      <c r="E205" s="71" t="s">
        <v>44</v>
      </c>
      <c r="F205" s="71">
        <v>2234</v>
      </c>
      <c r="G205" s="71">
        <v>653</v>
      </c>
      <c r="H205" s="71">
        <v>432</v>
      </c>
      <c r="I205" s="71">
        <v>11170</v>
      </c>
      <c r="J205" s="71">
        <v>10569</v>
      </c>
      <c r="K205" s="71">
        <v>198</v>
      </c>
      <c r="L205" s="71" t="s">
        <v>265</v>
      </c>
      <c r="M205" s="71" t="s">
        <v>56</v>
      </c>
    </row>
    <row r="206" spans="1:13">
      <c r="A206" s="71" t="s">
        <v>416</v>
      </c>
      <c r="B206" s="71" t="s">
        <v>14</v>
      </c>
      <c r="C206" s="71" t="s">
        <v>303</v>
      </c>
      <c r="D206" s="71" t="s">
        <v>70</v>
      </c>
      <c r="E206" s="71" t="s">
        <v>71</v>
      </c>
      <c r="F206" s="71">
        <v>3820</v>
      </c>
      <c r="G206" s="71">
        <v>697</v>
      </c>
      <c r="H206" s="71">
        <v>268</v>
      </c>
      <c r="I206" s="71">
        <v>45840</v>
      </c>
      <c r="J206" s="71">
        <v>45631</v>
      </c>
      <c r="K206" s="71">
        <v>171</v>
      </c>
      <c r="L206" s="71" t="s">
        <v>163</v>
      </c>
      <c r="M206" s="71" t="s">
        <v>19</v>
      </c>
    </row>
    <row r="207" spans="1:13">
      <c r="A207" s="71" t="s">
        <v>417</v>
      </c>
      <c r="B207" s="71" t="s">
        <v>14</v>
      </c>
      <c r="C207" s="71" t="s">
        <v>47</v>
      </c>
      <c r="D207" s="71" t="s">
        <v>22</v>
      </c>
      <c r="E207" s="71" t="s">
        <v>23</v>
      </c>
      <c r="F207" s="71">
        <v>941</v>
      </c>
      <c r="G207" s="71">
        <v>121</v>
      </c>
      <c r="H207" s="71">
        <v>458</v>
      </c>
      <c r="I207" s="71">
        <v>14115</v>
      </c>
      <c r="J207" s="71">
        <v>13838</v>
      </c>
      <c r="K207" s="71">
        <v>87</v>
      </c>
      <c r="L207" s="71" t="s">
        <v>29</v>
      </c>
      <c r="M207" s="71" t="s">
        <v>25</v>
      </c>
    </row>
    <row r="208" spans="1:13">
      <c r="A208" s="71" t="s">
        <v>418</v>
      </c>
      <c r="B208" s="71" t="s">
        <v>14</v>
      </c>
      <c r="C208" s="71" t="s">
        <v>419</v>
      </c>
      <c r="D208" s="71" t="s">
        <v>43</v>
      </c>
      <c r="E208" s="71" t="s">
        <v>44</v>
      </c>
      <c r="F208" s="71">
        <v>4274</v>
      </c>
      <c r="G208" s="71">
        <v>340</v>
      </c>
      <c r="H208" s="71">
        <v>281</v>
      </c>
      <c r="I208" s="71">
        <v>34192</v>
      </c>
      <c r="J208" s="71">
        <v>33446</v>
      </c>
      <c r="K208" s="71">
        <v>129</v>
      </c>
      <c r="L208" s="71" t="s">
        <v>163</v>
      </c>
      <c r="M208" s="71" t="s">
        <v>39</v>
      </c>
    </row>
    <row r="209" spans="1:13">
      <c r="A209" s="71" t="s">
        <v>420</v>
      </c>
      <c r="B209" s="71" t="s">
        <v>27</v>
      </c>
      <c r="C209" s="71" t="s">
        <v>47</v>
      </c>
      <c r="D209" s="71" t="s">
        <v>70</v>
      </c>
      <c r="E209" s="71" t="s">
        <v>71</v>
      </c>
      <c r="F209" s="71">
        <v>2949</v>
      </c>
      <c r="G209" s="71">
        <v>476</v>
      </c>
      <c r="H209" s="71">
        <v>403</v>
      </c>
      <c r="I209" s="71">
        <v>44235</v>
      </c>
      <c r="J209" s="71">
        <v>43705</v>
      </c>
      <c r="K209" s="71">
        <v>135</v>
      </c>
      <c r="L209" s="71" t="s">
        <v>117</v>
      </c>
      <c r="M209" s="71" t="s">
        <v>19</v>
      </c>
    </row>
    <row r="210" spans="1:13">
      <c r="A210" s="71" t="s">
        <v>421</v>
      </c>
      <c r="B210" s="71" t="s">
        <v>14</v>
      </c>
      <c r="C210" s="71" t="s">
        <v>422</v>
      </c>
      <c r="D210" s="71" t="s">
        <v>70</v>
      </c>
      <c r="E210" s="71" t="s">
        <v>71</v>
      </c>
      <c r="F210" s="71">
        <v>3160</v>
      </c>
      <c r="G210" s="71">
        <v>204</v>
      </c>
      <c r="H210" s="71">
        <v>297</v>
      </c>
      <c r="I210" s="71">
        <v>44240</v>
      </c>
      <c r="J210" s="71">
        <v>43666</v>
      </c>
      <c r="K210" s="71">
        <v>49</v>
      </c>
      <c r="L210" s="71" t="s">
        <v>88</v>
      </c>
      <c r="M210" s="71" t="s">
        <v>19</v>
      </c>
    </row>
    <row r="211" spans="1:13">
      <c r="A211" s="71" t="s">
        <v>423</v>
      </c>
      <c r="B211" s="71" t="s">
        <v>27</v>
      </c>
      <c r="C211" s="71" t="s">
        <v>346</v>
      </c>
      <c r="D211" s="71" t="s">
        <v>50</v>
      </c>
      <c r="E211" s="71" t="s">
        <v>51</v>
      </c>
      <c r="F211" s="71">
        <v>257</v>
      </c>
      <c r="G211" s="71">
        <v>966</v>
      </c>
      <c r="H211" s="71">
        <v>398</v>
      </c>
      <c r="I211" s="71">
        <v>3341</v>
      </c>
      <c r="J211" s="71">
        <v>2753</v>
      </c>
      <c r="K211" s="71">
        <v>287</v>
      </c>
      <c r="L211" s="71" t="s">
        <v>210</v>
      </c>
      <c r="M211" s="71" t="s">
        <v>19</v>
      </c>
    </row>
    <row r="212" spans="1:13">
      <c r="A212" s="71" t="s">
        <v>424</v>
      </c>
      <c r="B212" s="71" t="s">
        <v>14</v>
      </c>
      <c r="C212" s="71" t="s">
        <v>425</v>
      </c>
      <c r="D212" s="71" t="s">
        <v>43</v>
      </c>
      <c r="E212" s="71" t="s">
        <v>44</v>
      </c>
      <c r="F212" s="71">
        <v>2120</v>
      </c>
      <c r="G212" s="71">
        <v>38</v>
      </c>
      <c r="H212" s="71">
        <v>212</v>
      </c>
      <c r="I212" s="71">
        <v>12720</v>
      </c>
      <c r="J212" s="71">
        <v>12564</v>
      </c>
      <c r="K212" s="71">
        <v>21</v>
      </c>
      <c r="L212" s="71" t="s">
        <v>210</v>
      </c>
      <c r="M212" s="71" t="s">
        <v>19</v>
      </c>
    </row>
    <row r="213" spans="1:13">
      <c r="A213" s="71" t="s">
        <v>426</v>
      </c>
      <c r="B213" s="71" t="s">
        <v>27</v>
      </c>
      <c r="C213" s="71" t="s">
        <v>194</v>
      </c>
      <c r="D213" s="71" t="s">
        <v>70</v>
      </c>
      <c r="E213" s="71" t="s">
        <v>71</v>
      </c>
      <c r="F213" s="71">
        <v>3874</v>
      </c>
      <c r="G213" s="71">
        <v>884</v>
      </c>
      <c r="H213" s="71">
        <v>19</v>
      </c>
      <c r="I213" s="71">
        <v>38740</v>
      </c>
      <c r="J213" s="71">
        <v>38552</v>
      </c>
      <c r="K213" s="71">
        <v>219</v>
      </c>
      <c r="L213" s="71" t="s">
        <v>59</v>
      </c>
      <c r="M213" s="71" t="s">
        <v>56</v>
      </c>
    </row>
    <row r="214" spans="1:13">
      <c r="A214" s="71" t="s">
        <v>427</v>
      </c>
      <c r="B214" s="71" t="s">
        <v>41</v>
      </c>
      <c r="C214" s="71" t="s">
        <v>428</v>
      </c>
      <c r="D214" s="71" t="s">
        <v>43</v>
      </c>
      <c r="E214" s="71" t="s">
        <v>44</v>
      </c>
      <c r="F214" s="71">
        <v>2696</v>
      </c>
      <c r="G214" s="71">
        <v>628</v>
      </c>
      <c r="H214" s="71">
        <v>443</v>
      </c>
      <c r="I214" s="71">
        <v>45832</v>
      </c>
      <c r="J214" s="71">
        <v>45632</v>
      </c>
      <c r="K214" s="71">
        <v>248</v>
      </c>
      <c r="L214" s="71" t="s">
        <v>18</v>
      </c>
      <c r="M214" s="71" t="s">
        <v>39</v>
      </c>
    </row>
    <row r="215" spans="1:13">
      <c r="A215" s="71" t="s">
        <v>429</v>
      </c>
      <c r="B215" s="71" t="s">
        <v>31</v>
      </c>
      <c r="C215" s="71" t="s">
        <v>15</v>
      </c>
      <c r="D215" s="71" t="s">
        <v>50</v>
      </c>
      <c r="E215" s="71" t="s">
        <v>51</v>
      </c>
      <c r="F215" s="71">
        <v>521</v>
      </c>
      <c r="G215" s="71">
        <v>746</v>
      </c>
      <c r="H215" s="71">
        <v>315</v>
      </c>
      <c r="I215" s="71">
        <v>4168</v>
      </c>
      <c r="J215" s="71">
        <v>3399</v>
      </c>
      <c r="K215" s="71">
        <v>282</v>
      </c>
      <c r="L215" s="71" t="s">
        <v>18</v>
      </c>
      <c r="M215" s="71" t="s">
        <v>19</v>
      </c>
    </row>
    <row r="216" spans="1:13">
      <c r="A216" s="71" t="s">
        <v>430</v>
      </c>
      <c r="B216" s="71" t="s">
        <v>41</v>
      </c>
      <c r="C216" s="71" t="s">
        <v>431</v>
      </c>
      <c r="D216" s="71" t="s">
        <v>50</v>
      </c>
      <c r="E216" s="71" t="s">
        <v>51</v>
      </c>
      <c r="F216" s="71">
        <v>4872</v>
      </c>
      <c r="G216" s="71">
        <v>925</v>
      </c>
      <c r="H216" s="71">
        <v>176</v>
      </c>
      <c r="I216" s="71">
        <v>82824</v>
      </c>
      <c r="J216" s="71">
        <v>82543</v>
      </c>
      <c r="K216" s="71">
        <v>89</v>
      </c>
      <c r="L216" s="71" t="s">
        <v>103</v>
      </c>
      <c r="M216" s="71" t="s">
        <v>19</v>
      </c>
    </row>
    <row r="217" spans="1:13">
      <c r="A217" s="71" t="s">
        <v>432</v>
      </c>
      <c r="B217" s="71" t="s">
        <v>27</v>
      </c>
      <c r="C217" s="71" t="s">
        <v>264</v>
      </c>
      <c r="D217" s="71" t="s">
        <v>33</v>
      </c>
      <c r="E217" s="71" t="s">
        <v>34</v>
      </c>
      <c r="F217" s="71">
        <v>1509</v>
      </c>
      <c r="G217" s="71">
        <v>88</v>
      </c>
      <c r="H217" s="71">
        <v>163</v>
      </c>
      <c r="I217" s="71">
        <v>30180</v>
      </c>
      <c r="J217" s="71">
        <v>29689</v>
      </c>
      <c r="K217" s="71">
        <v>119</v>
      </c>
      <c r="L217" s="71" t="s">
        <v>45</v>
      </c>
      <c r="M217" s="71" t="s">
        <v>19</v>
      </c>
    </row>
    <row r="218" spans="1:13">
      <c r="A218" s="71" t="s">
        <v>433</v>
      </c>
      <c r="B218" s="71" t="s">
        <v>41</v>
      </c>
      <c r="C218" s="71" t="s">
        <v>358</v>
      </c>
      <c r="D218" s="71" t="s">
        <v>50</v>
      </c>
      <c r="E218" s="71" t="s">
        <v>51</v>
      </c>
      <c r="F218" s="71">
        <v>4606</v>
      </c>
      <c r="G218" s="71">
        <v>931</v>
      </c>
      <c r="H218" s="71">
        <v>230</v>
      </c>
      <c r="I218" s="71">
        <v>92120</v>
      </c>
      <c r="J218" s="71">
        <v>91440</v>
      </c>
      <c r="K218" s="71">
        <v>56</v>
      </c>
      <c r="L218" s="71" t="s">
        <v>145</v>
      </c>
      <c r="M218" s="71" t="s">
        <v>39</v>
      </c>
    </row>
    <row r="219" spans="1:13">
      <c r="A219" s="71" t="s">
        <v>434</v>
      </c>
      <c r="B219" s="71" t="s">
        <v>41</v>
      </c>
      <c r="C219" s="71" t="s">
        <v>250</v>
      </c>
      <c r="D219" s="71" t="s">
        <v>43</v>
      </c>
      <c r="E219" s="71" t="s">
        <v>44</v>
      </c>
      <c r="F219" s="71">
        <v>1869</v>
      </c>
      <c r="G219" s="71">
        <v>453</v>
      </c>
      <c r="H219" s="71">
        <v>490</v>
      </c>
      <c r="I219" s="71">
        <v>14952</v>
      </c>
      <c r="J219" s="71">
        <v>14309</v>
      </c>
      <c r="K219" s="71">
        <v>275</v>
      </c>
      <c r="L219" s="71" t="s">
        <v>265</v>
      </c>
      <c r="M219" s="71" t="s">
        <v>19</v>
      </c>
    </row>
    <row r="220" spans="1:13">
      <c r="A220" s="71" t="s">
        <v>435</v>
      </c>
      <c r="B220" s="71" t="s">
        <v>14</v>
      </c>
      <c r="C220" s="71" t="s">
        <v>171</v>
      </c>
      <c r="D220" s="71" t="s">
        <v>16</v>
      </c>
      <c r="E220" s="71" t="s">
        <v>17</v>
      </c>
      <c r="F220" s="71">
        <v>1188</v>
      </c>
      <c r="G220" s="71">
        <v>470</v>
      </c>
      <c r="H220" s="71">
        <v>174</v>
      </c>
      <c r="I220" s="71">
        <v>7128</v>
      </c>
      <c r="J220" s="71">
        <v>6145</v>
      </c>
      <c r="K220" s="71">
        <v>270</v>
      </c>
      <c r="L220" s="71" t="s">
        <v>38</v>
      </c>
      <c r="M220" s="71" t="s">
        <v>25</v>
      </c>
    </row>
    <row r="221" spans="1:13">
      <c r="A221" s="71" t="s">
        <v>436</v>
      </c>
      <c r="B221" s="71" t="s">
        <v>31</v>
      </c>
      <c r="C221" s="71" t="s">
        <v>412</v>
      </c>
      <c r="D221" s="71" t="s">
        <v>33</v>
      </c>
      <c r="E221" s="71" t="s">
        <v>34</v>
      </c>
      <c r="F221" s="71">
        <v>84</v>
      </c>
      <c r="G221" s="71">
        <v>897</v>
      </c>
      <c r="H221" s="71">
        <v>85</v>
      </c>
      <c r="I221" s="71">
        <v>588</v>
      </c>
      <c r="J221" s="71">
        <v>8</v>
      </c>
      <c r="K221" s="71">
        <v>12</v>
      </c>
      <c r="L221" s="71" t="s">
        <v>59</v>
      </c>
      <c r="M221" s="71" t="s">
        <v>25</v>
      </c>
    </row>
    <row r="222" spans="1:13">
      <c r="A222" s="71" t="s">
        <v>437</v>
      </c>
      <c r="B222" s="71" t="s">
        <v>41</v>
      </c>
      <c r="C222" s="71" t="s">
        <v>252</v>
      </c>
      <c r="D222" s="71" t="s">
        <v>70</v>
      </c>
      <c r="E222" s="71" t="s">
        <v>71</v>
      </c>
      <c r="F222" s="71">
        <v>4453</v>
      </c>
      <c r="G222" s="71">
        <v>111</v>
      </c>
      <c r="H222" s="71">
        <v>420</v>
      </c>
      <c r="I222" s="71">
        <v>31171</v>
      </c>
      <c r="J222" s="71">
        <v>30565</v>
      </c>
      <c r="K222" s="71">
        <v>23</v>
      </c>
      <c r="L222" s="71" t="s">
        <v>106</v>
      </c>
      <c r="M222" s="71" t="s">
        <v>56</v>
      </c>
    </row>
    <row r="223" spans="1:13">
      <c r="A223" s="71" t="s">
        <v>438</v>
      </c>
      <c r="B223" s="71" t="s">
        <v>41</v>
      </c>
      <c r="C223" s="71" t="s">
        <v>439</v>
      </c>
      <c r="D223" s="71" t="s">
        <v>16</v>
      </c>
      <c r="E223" s="71" t="s">
        <v>17</v>
      </c>
      <c r="F223" s="71">
        <v>1814</v>
      </c>
      <c r="G223" s="71">
        <v>653</v>
      </c>
      <c r="H223" s="71">
        <v>363</v>
      </c>
      <c r="I223" s="71">
        <v>25396</v>
      </c>
      <c r="J223" s="71">
        <v>25286</v>
      </c>
      <c r="K223" s="71">
        <v>39</v>
      </c>
      <c r="L223" s="71" t="s">
        <v>59</v>
      </c>
      <c r="M223" s="71" t="s">
        <v>19</v>
      </c>
    </row>
    <row r="224" spans="1:13">
      <c r="A224" s="71" t="s">
        <v>440</v>
      </c>
      <c r="B224" s="71" t="s">
        <v>14</v>
      </c>
      <c r="C224" s="71" t="s">
        <v>356</v>
      </c>
      <c r="D224" s="71" t="s">
        <v>50</v>
      </c>
      <c r="E224" s="71" t="s">
        <v>51</v>
      </c>
      <c r="F224" s="71">
        <v>3338</v>
      </c>
      <c r="G224" s="71">
        <v>277</v>
      </c>
      <c r="H224" s="71">
        <v>118</v>
      </c>
      <c r="I224" s="71">
        <v>60084</v>
      </c>
      <c r="J224" s="71">
        <v>59842</v>
      </c>
      <c r="K224" s="71">
        <v>252</v>
      </c>
      <c r="L224" s="71" t="s">
        <v>59</v>
      </c>
      <c r="M224" s="71" t="s">
        <v>19</v>
      </c>
    </row>
    <row r="225" spans="1:13">
      <c r="A225" s="71" t="s">
        <v>441</v>
      </c>
      <c r="B225" s="71" t="s">
        <v>41</v>
      </c>
      <c r="C225" s="71" t="s">
        <v>442</v>
      </c>
      <c r="D225" s="71" t="s">
        <v>50</v>
      </c>
      <c r="E225" s="71" t="s">
        <v>51</v>
      </c>
      <c r="F225" s="71">
        <v>602</v>
      </c>
      <c r="G225" s="71">
        <v>594</v>
      </c>
      <c r="H225" s="71">
        <v>156</v>
      </c>
      <c r="I225" s="71">
        <v>4214</v>
      </c>
      <c r="J225" s="71">
        <v>3363</v>
      </c>
      <c r="K225" s="71">
        <v>164</v>
      </c>
      <c r="L225" s="71" t="s">
        <v>18</v>
      </c>
      <c r="M225" s="71" t="s">
        <v>39</v>
      </c>
    </row>
    <row r="226" spans="1:13">
      <c r="A226" s="71" t="s">
        <v>443</v>
      </c>
      <c r="B226" s="71" t="s">
        <v>14</v>
      </c>
      <c r="C226" s="71" t="s">
        <v>371</v>
      </c>
      <c r="D226" s="71" t="s">
        <v>43</v>
      </c>
      <c r="E226" s="71" t="s">
        <v>44</v>
      </c>
      <c r="F226" s="71">
        <v>4672</v>
      </c>
      <c r="G226" s="71">
        <v>325</v>
      </c>
      <c r="H226" s="71">
        <v>32</v>
      </c>
      <c r="I226" s="71">
        <v>88768</v>
      </c>
      <c r="J226" s="71">
        <v>87833</v>
      </c>
      <c r="K226" s="71">
        <v>118</v>
      </c>
      <c r="L226" s="71" t="s">
        <v>128</v>
      </c>
      <c r="M226" s="71" t="s">
        <v>39</v>
      </c>
    </row>
    <row r="227" spans="1:13">
      <c r="A227" s="71" t="s">
        <v>444</v>
      </c>
      <c r="B227" s="71" t="s">
        <v>31</v>
      </c>
      <c r="C227" s="71" t="s">
        <v>445</v>
      </c>
      <c r="D227" s="71" t="s">
        <v>43</v>
      </c>
      <c r="E227" s="71" t="s">
        <v>44</v>
      </c>
      <c r="F227" s="71">
        <v>1741</v>
      </c>
      <c r="G227" s="71">
        <v>164</v>
      </c>
      <c r="H227" s="71">
        <v>318</v>
      </c>
      <c r="I227" s="71">
        <v>8705</v>
      </c>
      <c r="J227" s="71">
        <v>8272</v>
      </c>
      <c r="K227" s="71">
        <v>121</v>
      </c>
      <c r="L227" s="71" t="s">
        <v>18</v>
      </c>
      <c r="M227" s="71" t="s">
        <v>25</v>
      </c>
    </row>
    <row r="228" spans="1:13">
      <c r="A228" s="71" t="s">
        <v>446</v>
      </c>
      <c r="B228" s="71" t="s">
        <v>31</v>
      </c>
      <c r="C228" s="71" t="s">
        <v>447</v>
      </c>
      <c r="D228" s="71" t="s">
        <v>22</v>
      </c>
      <c r="E228" s="71" t="s">
        <v>23</v>
      </c>
      <c r="F228" s="71">
        <v>246</v>
      </c>
      <c r="G228" s="71">
        <v>149</v>
      </c>
      <c r="H228" s="71">
        <v>130</v>
      </c>
      <c r="I228" s="71">
        <v>4674</v>
      </c>
      <c r="J228" s="71">
        <v>4390</v>
      </c>
      <c r="K228" s="71">
        <v>217</v>
      </c>
      <c r="L228" s="71" t="s">
        <v>117</v>
      </c>
      <c r="M228" s="71" t="s">
        <v>25</v>
      </c>
    </row>
    <row r="229" spans="1:13">
      <c r="A229" s="71" t="s">
        <v>448</v>
      </c>
      <c r="B229" s="71" t="s">
        <v>31</v>
      </c>
      <c r="C229" s="71" t="s">
        <v>449</v>
      </c>
      <c r="D229" s="71" t="s">
        <v>33</v>
      </c>
      <c r="E229" s="71" t="s">
        <v>34</v>
      </c>
      <c r="F229" s="71">
        <v>4808</v>
      </c>
      <c r="G229" s="71">
        <v>772</v>
      </c>
      <c r="H229" s="71">
        <v>320</v>
      </c>
      <c r="I229" s="71">
        <v>72120</v>
      </c>
      <c r="J229" s="71">
        <v>71696</v>
      </c>
      <c r="K229" s="71">
        <v>195</v>
      </c>
      <c r="L229" s="71" t="s">
        <v>210</v>
      </c>
      <c r="M229" s="71" t="s">
        <v>56</v>
      </c>
    </row>
    <row r="230" spans="1:13">
      <c r="A230" s="71" t="s">
        <v>450</v>
      </c>
      <c r="B230" s="71" t="s">
        <v>31</v>
      </c>
      <c r="C230" s="71" t="s">
        <v>151</v>
      </c>
      <c r="D230" s="71" t="s">
        <v>43</v>
      </c>
      <c r="E230" s="71" t="s">
        <v>44</v>
      </c>
      <c r="F230" s="71">
        <v>4799</v>
      </c>
      <c r="G230" s="71">
        <v>694</v>
      </c>
      <c r="H230" s="71">
        <v>289</v>
      </c>
      <c r="I230" s="71">
        <v>43191</v>
      </c>
      <c r="J230" s="71">
        <v>42228</v>
      </c>
      <c r="K230" s="71">
        <v>118</v>
      </c>
      <c r="L230" s="71" t="s">
        <v>45</v>
      </c>
      <c r="M230" s="71" t="s">
        <v>25</v>
      </c>
    </row>
    <row r="231" spans="1:13">
      <c r="A231" s="71" t="s">
        <v>451</v>
      </c>
      <c r="B231" s="71" t="s">
        <v>41</v>
      </c>
      <c r="C231" s="71" t="s">
        <v>313</v>
      </c>
      <c r="D231" s="71" t="s">
        <v>16</v>
      </c>
      <c r="E231" s="71" t="s">
        <v>17</v>
      </c>
      <c r="F231" s="71">
        <v>3663</v>
      </c>
      <c r="G231" s="71">
        <v>17</v>
      </c>
      <c r="H231" s="71">
        <v>295</v>
      </c>
      <c r="I231" s="71">
        <v>51282</v>
      </c>
      <c r="J231" s="71">
        <v>50567</v>
      </c>
      <c r="K231" s="71">
        <v>84</v>
      </c>
      <c r="L231" s="71" t="s">
        <v>18</v>
      </c>
      <c r="M231" s="71" t="s">
        <v>19</v>
      </c>
    </row>
    <row r="232" spans="1:13">
      <c r="A232" s="71" t="s">
        <v>452</v>
      </c>
      <c r="B232" s="71" t="s">
        <v>31</v>
      </c>
      <c r="C232" s="71" t="s">
        <v>428</v>
      </c>
      <c r="D232" s="71" t="s">
        <v>22</v>
      </c>
      <c r="E232" s="71" t="s">
        <v>23</v>
      </c>
      <c r="F232" s="71">
        <v>1430</v>
      </c>
      <c r="G232" s="71">
        <v>376</v>
      </c>
      <c r="H232" s="71">
        <v>33</v>
      </c>
      <c r="I232" s="71">
        <v>21450</v>
      </c>
      <c r="J232" s="71">
        <v>20509</v>
      </c>
      <c r="K232" s="71">
        <v>251</v>
      </c>
      <c r="L232" s="71" t="s">
        <v>78</v>
      </c>
      <c r="M232" s="71" t="s">
        <v>39</v>
      </c>
    </row>
    <row r="233" spans="1:13">
      <c r="A233" s="71" t="s">
        <v>453</v>
      </c>
      <c r="B233" s="71" t="s">
        <v>14</v>
      </c>
      <c r="C233" s="71" t="s">
        <v>454</v>
      </c>
      <c r="D233" s="71" t="s">
        <v>33</v>
      </c>
      <c r="E233" s="71" t="s">
        <v>34</v>
      </c>
      <c r="F233" s="71">
        <v>249</v>
      </c>
      <c r="G233" s="71">
        <v>592</v>
      </c>
      <c r="H233" s="71">
        <v>230</v>
      </c>
      <c r="I233" s="71">
        <v>1494</v>
      </c>
      <c r="J233" s="71">
        <v>1044</v>
      </c>
      <c r="K233" s="71">
        <v>201</v>
      </c>
      <c r="L233" s="71" t="s">
        <v>286</v>
      </c>
      <c r="M233" s="71" t="s">
        <v>56</v>
      </c>
    </row>
    <row r="234" spans="1:13">
      <c r="A234" s="71" t="s">
        <v>455</v>
      </c>
      <c r="B234" s="71" t="s">
        <v>41</v>
      </c>
      <c r="C234" s="71" t="s">
        <v>132</v>
      </c>
      <c r="D234" s="71" t="s">
        <v>50</v>
      </c>
      <c r="E234" s="71" t="s">
        <v>51</v>
      </c>
      <c r="F234" s="71">
        <v>2382</v>
      </c>
      <c r="G234" s="71">
        <v>265</v>
      </c>
      <c r="H234" s="71">
        <v>134</v>
      </c>
      <c r="I234" s="71">
        <v>38112</v>
      </c>
      <c r="J234" s="71">
        <v>37437</v>
      </c>
      <c r="K234" s="71">
        <v>249</v>
      </c>
      <c r="L234" s="71" t="s">
        <v>179</v>
      </c>
      <c r="M234" s="71" t="s">
        <v>25</v>
      </c>
    </row>
    <row r="235" spans="1:13">
      <c r="A235" s="71" t="s">
        <v>456</v>
      </c>
      <c r="B235" s="71" t="s">
        <v>41</v>
      </c>
      <c r="C235" s="71" t="s">
        <v>457</v>
      </c>
      <c r="D235" s="71" t="s">
        <v>22</v>
      </c>
      <c r="E235" s="71" t="s">
        <v>23</v>
      </c>
      <c r="F235" s="71">
        <v>1272</v>
      </c>
      <c r="G235" s="71">
        <v>465</v>
      </c>
      <c r="H235" s="71">
        <v>99</v>
      </c>
      <c r="I235" s="71">
        <v>24168</v>
      </c>
      <c r="J235" s="71">
        <v>23719</v>
      </c>
      <c r="K235" s="71">
        <v>42</v>
      </c>
      <c r="L235" s="71" t="s">
        <v>72</v>
      </c>
      <c r="M235" s="71" t="s">
        <v>25</v>
      </c>
    </row>
    <row r="236" spans="1:13">
      <c r="A236" s="71" t="s">
        <v>458</v>
      </c>
      <c r="B236" s="71" t="s">
        <v>41</v>
      </c>
      <c r="C236" s="71" t="s">
        <v>388</v>
      </c>
      <c r="D236" s="71" t="s">
        <v>50</v>
      </c>
      <c r="E236" s="71" t="s">
        <v>51</v>
      </c>
      <c r="F236" s="71">
        <v>3196</v>
      </c>
      <c r="G236" s="71">
        <v>941</v>
      </c>
      <c r="H236" s="71">
        <v>376</v>
      </c>
      <c r="I236" s="71">
        <v>35156</v>
      </c>
      <c r="J236" s="71">
        <v>34444</v>
      </c>
      <c r="K236" s="71">
        <v>241</v>
      </c>
      <c r="L236" s="71" t="s">
        <v>88</v>
      </c>
      <c r="M236" s="71" t="s">
        <v>56</v>
      </c>
    </row>
    <row r="237" spans="1:13">
      <c r="A237" s="71" t="s">
        <v>459</v>
      </c>
      <c r="B237" s="71" t="s">
        <v>41</v>
      </c>
      <c r="C237" s="71" t="s">
        <v>80</v>
      </c>
      <c r="D237" s="71" t="s">
        <v>22</v>
      </c>
      <c r="E237" s="71" t="s">
        <v>23</v>
      </c>
      <c r="F237" s="71">
        <v>1257</v>
      </c>
      <c r="G237" s="71">
        <v>19</v>
      </c>
      <c r="H237" s="71">
        <v>351</v>
      </c>
      <c r="I237" s="71">
        <v>12570</v>
      </c>
      <c r="J237" s="71">
        <v>11660</v>
      </c>
      <c r="K237" s="71">
        <v>194</v>
      </c>
      <c r="L237" s="71" t="s">
        <v>59</v>
      </c>
      <c r="M237" s="71" t="s">
        <v>19</v>
      </c>
    </row>
    <row r="238" spans="1:13">
      <c r="A238" s="71" t="s">
        <v>460</v>
      </c>
      <c r="B238" s="71" t="s">
        <v>31</v>
      </c>
      <c r="C238" s="71" t="s">
        <v>337</v>
      </c>
      <c r="D238" s="71" t="s">
        <v>33</v>
      </c>
      <c r="E238" s="71" t="s">
        <v>34</v>
      </c>
      <c r="F238" s="71">
        <v>3770</v>
      </c>
      <c r="G238" s="71">
        <v>917</v>
      </c>
      <c r="H238" s="71">
        <v>129</v>
      </c>
      <c r="I238" s="71">
        <v>71630</v>
      </c>
      <c r="J238" s="71">
        <v>71322</v>
      </c>
      <c r="K238" s="71">
        <v>76</v>
      </c>
      <c r="L238" s="71" t="s">
        <v>103</v>
      </c>
      <c r="M238" s="71" t="s">
        <v>56</v>
      </c>
    </row>
    <row r="239" spans="1:13">
      <c r="A239" s="71" t="s">
        <v>461</v>
      </c>
      <c r="B239" s="71" t="s">
        <v>14</v>
      </c>
      <c r="C239" s="71" t="s">
        <v>462</v>
      </c>
      <c r="D239" s="71" t="s">
        <v>22</v>
      </c>
      <c r="E239" s="71" t="s">
        <v>23</v>
      </c>
      <c r="F239" s="71">
        <v>4725</v>
      </c>
      <c r="G239" s="71">
        <v>400</v>
      </c>
      <c r="H239" s="71">
        <v>362</v>
      </c>
      <c r="I239" s="71">
        <v>75600</v>
      </c>
      <c r="J239" s="71">
        <v>74927</v>
      </c>
      <c r="K239" s="71">
        <v>43</v>
      </c>
      <c r="L239" s="71" t="s">
        <v>106</v>
      </c>
      <c r="M239" s="71" t="s">
        <v>19</v>
      </c>
    </row>
    <row r="240" spans="1:13">
      <c r="A240" s="71" t="s">
        <v>463</v>
      </c>
      <c r="B240" s="71" t="s">
        <v>27</v>
      </c>
      <c r="C240" s="71" t="s">
        <v>144</v>
      </c>
      <c r="D240" s="71" t="s">
        <v>22</v>
      </c>
      <c r="E240" s="71" t="s">
        <v>23</v>
      </c>
      <c r="F240" s="71">
        <v>4188</v>
      </c>
      <c r="G240" s="71">
        <v>942</v>
      </c>
      <c r="H240" s="71">
        <v>118</v>
      </c>
      <c r="I240" s="71">
        <v>20940</v>
      </c>
      <c r="J240" s="71">
        <v>20471</v>
      </c>
      <c r="K240" s="71">
        <v>102</v>
      </c>
      <c r="L240" s="71" t="s">
        <v>59</v>
      </c>
      <c r="M240" s="71" t="s">
        <v>25</v>
      </c>
    </row>
    <row r="241" spans="1:13">
      <c r="A241" s="71" t="s">
        <v>464</v>
      </c>
      <c r="B241" s="71" t="s">
        <v>14</v>
      </c>
      <c r="C241" s="71" t="s">
        <v>74</v>
      </c>
      <c r="D241" s="71" t="s">
        <v>43</v>
      </c>
      <c r="E241" s="71" t="s">
        <v>44</v>
      </c>
      <c r="F241" s="71">
        <v>929</v>
      </c>
      <c r="G241" s="71">
        <v>192</v>
      </c>
      <c r="H241" s="71">
        <v>322</v>
      </c>
      <c r="I241" s="71">
        <v>16722</v>
      </c>
      <c r="J241" s="71">
        <v>15996</v>
      </c>
      <c r="K241" s="71">
        <v>145</v>
      </c>
      <c r="L241" s="71" t="s">
        <v>24</v>
      </c>
      <c r="M241" s="71" t="s">
        <v>39</v>
      </c>
    </row>
    <row r="242" spans="1:13">
      <c r="A242" s="71" t="s">
        <v>465</v>
      </c>
      <c r="B242" s="71" t="s">
        <v>41</v>
      </c>
      <c r="C242" s="71" t="s">
        <v>466</v>
      </c>
      <c r="D242" s="71" t="s">
        <v>33</v>
      </c>
      <c r="E242" s="71" t="s">
        <v>34</v>
      </c>
      <c r="F242" s="71">
        <v>4321</v>
      </c>
      <c r="G242" s="71">
        <v>874</v>
      </c>
      <c r="H242" s="71">
        <v>172</v>
      </c>
      <c r="I242" s="71">
        <v>30247</v>
      </c>
      <c r="J242" s="71">
        <v>29254</v>
      </c>
      <c r="K242" s="71">
        <v>122</v>
      </c>
      <c r="L242" s="71" t="s">
        <v>67</v>
      </c>
      <c r="M242" s="71" t="s">
        <v>39</v>
      </c>
    </row>
    <row r="243" spans="1:13">
      <c r="A243" s="71" t="s">
        <v>467</v>
      </c>
      <c r="B243" s="71" t="s">
        <v>41</v>
      </c>
      <c r="C243" s="71" t="s">
        <v>224</v>
      </c>
      <c r="D243" s="71" t="s">
        <v>16</v>
      </c>
      <c r="E243" s="71" t="s">
        <v>17</v>
      </c>
      <c r="F243" s="71">
        <v>4767</v>
      </c>
      <c r="G243" s="71">
        <v>190</v>
      </c>
      <c r="H243" s="71">
        <v>340</v>
      </c>
      <c r="I243" s="71">
        <v>28602</v>
      </c>
      <c r="J243" s="71">
        <v>28044</v>
      </c>
      <c r="K243" s="71">
        <v>210</v>
      </c>
      <c r="L243" s="71" t="s">
        <v>78</v>
      </c>
      <c r="M243" s="71" t="s">
        <v>56</v>
      </c>
    </row>
    <row r="244" spans="1:13">
      <c r="A244" s="71" t="s">
        <v>468</v>
      </c>
      <c r="B244" s="71" t="s">
        <v>14</v>
      </c>
      <c r="C244" s="71" t="s">
        <v>469</v>
      </c>
      <c r="D244" s="71" t="s">
        <v>50</v>
      </c>
      <c r="E244" s="71" t="s">
        <v>51</v>
      </c>
      <c r="F244" s="71">
        <v>3592</v>
      </c>
      <c r="G244" s="71">
        <v>911</v>
      </c>
      <c r="H244" s="71">
        <v>375</v>
      </c>
      <c r="I244" s="71">
        <v>50288</v>
      </c>
      <c r="J244" s="71">
        <v>49490</v>
      </c>
      <c r="K244" s="71">
        <v>32</v>
      </c>
      <c r="L244" s="71" t="s">
        <v>59</v>
      </c>
      <c r="M244" s="71" t="s">
        <v>25</v>
      </c>
    </row>
    <row r="245" spans="1:13">
      <c r="A245" s="71" t="s">
        <v>470</v>
      </c>
      <c r="B245" s="71" t="s">
        <v>27</v>
      </c>
      <c r="C245" s="71" t="s">
        <v>471</v>
      </c>
      <c r="D245" s="71" t="s">
        <v>70</v>
      </c>
      <c r="E245" s="71" t="s">
        <v>71</v>
      </c>
      <c r="F245" s="71">
        <v>4661</v>
      </c>
      <c r="G245" s="71">
        <v>935</v>
      </c>
      <c r="H245" s="71">
        <v>433</v>
      </c>
      <c r="I245" s="71">
        <v>23305</v>
      </c>
      <c r="J245" s="71">
        <v>22583</v>
      </c>
      <c r="K245" s="71">
        <v>63</v>
      </c>
      <c r="L245" s="71" t="s">
        <v>163</v>
      </c>
      <c r="M245" s="71" t="s">
        <v>19</v>
      </c>
    </row>
    <row r="246" spans="1:13">
      <c r="A246" s="71" t="s">
        <v>472</v>
      </c>
      <c r="B246" s="71" t="s">
        <v>41</v>
      </c>
      <c r="C246" s="71" t="s">
        <v>473</v>
      </c>
      <c r="D246" s="71" t="s">
        <v>16</v>
      </c>
      <c r="E246" s="71" t="s">
        <v>17</v>
      </c>
      <c r="F246" s="71">
        <v>4134</v>
      </c>
      <c r="G246" s="71">
        <v>824</v>
      </c>
      <c r="H246" s="71">
        <v>99</v>
      </c>
      <c r="I246" s="71">
        <v>41340</v>
      </c>
      <c r="J246" s="71">
        <v>41050</v>
      </c>
      <c r="K246" s="71">
        <v>177</v>
      </c>
      <c r="L246" s="71" t="s">
        <v>24</v>
      </c>
      <c r="M246" s="71" t="s">
        <v>25</v>
      </c>
    </row>
    <row r="247" spans="1:13">
      <c r="A247" s="71" t="s">
        <v>474</v>
      </c>
      <c r="B247" s="71" t="s">
        <v>41</v>
      </c>
      <c r="C247" s="71" t="s">
        <v>475</v>
      </c>
      <c r="D247" s="71" t="s">
        <v>50</v>
      </c>
      <c r="E247" s="71" t="s">
        <v>51</v>
      </c>
      <c r="F247" s="71">
        <v>400</v>
      </c>
      <c r="G247" s="71">
        <v>680</v>
      </c>
      <c r="H247" s="71">
        <v>434</v>
      </c>
      <c r="I247" s="71">
        <v>6400</v>
      </c>
      <c r="J247" s="71">
        <v>5472</v>
      </c>
      <c r="K247" s="71">
        <v>160</v>
      </c>
      <c r="L247" s="71" t="s">
        <v>103</v>
      </c>
      <c r="M247" s="71" t="s">
        <v>25</v>
      </c>
    </row>
    <row r="248" spans="1:13">
      <c r="A248" s="71" t="s">
        <v>476</v>
      </c>
      <c r="B248" s="71" t="s">
        <v>41</v>
      </c>
      <c r="C248" s="71" t="s">
        <v>477</v>
      </c>
      <c r="D248" s="71" t="s">
        <v>16</v>
      </c>
      <c r="E248" s="71" t="s">
        <v>17</v>
      </c>
      <c r="F248" s="71">
        <v>3960</v>
      </c>
      <c r="G248" s="71">
        <v>266</v>
      </c>
      <c r="H248" s="71">
        <v>8</v>
      </c>
      <c r="I248" s="71">
        <v>35640</v>
      </c>
      <c r="J248" s="71">
        <v>34850</v>
      </c>
      <c r="K248" s="71">
        <v>208</v>
      </c>
      <c r="L248" s="71" t="s">
        <v>106</v>
      </c>
      <c r="M248" s="71" t="s">
        <v>56</v>
      </c>
    </row>
    <row r="249" spans="1:13">
      <c r="A249" s="71" t="s">
        <v>478</v>
      </c>
      <c r="B249" s="71" t="s">
        <v>41</v>
      </c>
      <c r="C249" s="71" t="s">
        <v>58</v>
      </c>
      <c r="D249" s="71" t="s">
        <v>33</v>
      </c>
      <c r="E249" s="71" t="s">
        <v>34</v>
      </c>
      <c r="F249" s="71">
        <v>886</v>
      </c>
      <c r="G249" s="71">
        <v>126</v>
      </c>
      <c r="H249" s="71">
        <v>153</v>
      </c>
      <c r="I249" s="71">
        <v>4430</v>
      </c>
      <c r="J249" s="71">
        <v>4037</v>
      </c>
      <c r="K249" s="71">
        <v>212</v>
      </c>
      <c r="L249" s="71" t="s">
        <v>18</v>
      </c>
      <c r="M249" s="71" t="s">
        <v>39</v>
      </c>
    </row>
    <row r="250" spans="1:13">
      <c r="A250" s="71" t="s">
        <v>479</v>
      </c>
      <c r="B250" s="71" t="s">
        <v>14</v>
      </c>
      <c r="C250" s="71" t="s">
        <v>425</v>
      </c>
      <c r="D250" s="71" t="s">
        <v>50</v>
      </c>
      <c r="E250" s="71" t="s">
        <v>51</v>
      </c>
      <c r="F250" s="71">
        <v>827</v>
      </c>
      <c r="G250" s="71">
        <v>77</v>
      </c>
      <c r="H250" s="71">
        <v>402</v>
      </c>
      <c r="I250" s="71">
        <v>14886</v>
      </c>
      <c r="J250" s="71">
        <v>14129</v>
      </c>
      <c r="K250" s="71">
        <v>254</v>
      </c>
      <c r="L250" s="71" t="s">
        <v>59</v>
      </c>
      <c r="M250" s="71" t="s">
        <v>25</v>
      </c>
    </row>
    <row r="251" spans="1:13">
      <c r="A251" s="71" t="s">
        <v>480</v>
      </c>
      <c r="B251" s="71" t="s">
        <v>41</v>
      </c>
      <c r="C251" s="71" t="s">
        <v>169</v>
      </c>
      <c r="D251" s="71" t="s">
        <v>16</v>
      </c>
      <c r="E251" s="71" t="s">
        <v>17</v>
      </c>
      <c r="F251" s="71">
        <v>3813</v>
      </c>
      <c r="G251" s="71">
        <v>935</v>
      </c>
      <c r="H251" s="71">
        <v>274</v>
      </c>
      <c r="I251" s="71">
        <v>68634</v>
      </c>
      <c r="J251" s="71">
        <v>68488</v>
      </c>
      <c r="K251" s="71">
        <v>251</v>
      </c>
      <c r="L251" s="71" t="s">
        <v>179</v>
      </c>
      <c r="M251" s="71" t="s">
        <v>19</v>
      </c>
    </row>
    <row r="252" spans="1:13">
      <c r="A252" s="71" t="s">
        <v>481</v>
      </c>
      <c r="B252" s="71" t="s">
        <v>31</v>
      </c>
      <c r="C252" s="71" t="s">
        <v>482</v>
      </c>
      <c r="D252" s="71" t="s">
        <v>43</v>
      </c>
      <c r="E252" s="71" t="s">
        <v>44</v>
      </c>
      <c r="F252" s="71">
        <v>1377</v>
      </c>
      <c r="G252" s="71">
        <v>796</v>
      </c>
      <c r="H252" s="71">
        <v>387</v>
      </c>
      <c r="I252" s="71">
        <v>22032</v>
      </c>
      <c r="J252" s="71">
        <v>21869</v>
      </c>
      <c r="K252" s="71">
        <v>189</v>
      </c>
      <c r="L252" s="71" t="s">
        <v>145</v>
      </c>
      <c r="M252" s="71" t="s">
        <v>39</v>
      </c>
    </row>
    <row r="253" spans="1:13">
      <c r="A253" s="71" t="s">
        <v>483</v>
      </c>
      <c r="B253" s="71" t="s">
        <v>41</v>
      </c>
      <c r="C253" s="71" t="s">
        <v>360</v>
      </c>
      <c r="D253" s="71" t="s">
        <v>43</v>
      </c>
      <c r="E253" s="71" t="s">
        <v>44</v>
      </c>
      <c r="F253" s="71">
        <v>2089</v>
      </c>
      <c r="G253" s="71">
        <v>476</v>
      </c>
      <c r="H253" s="71">
        <v>69</v>
      </c>
      <c r="I253" s="71">
        <v>16712</v>
      </c>
      <c r="J253" s="71">
        <v>16309</v>
      </c>
      <c r="K253" s="71">
        <v>64</v>
      </c>
      <c r="L253" s="71" t="s">
        <v>62</v>
      </c>
      <c r="M253" s="71" t="s">
        <v>19</v>
      </c>
    </row>
    <row r="254" spans="1:13">
      <c r="A254" s="71" t="s">
        <v>484</v>
      </c>
      <c r="B254" s="71" t="s">
        <v>14</v>
      </c>
      <c r="C254" s="71" t="s">
        <v>485</v>
      </c>
      <c r="D254" s="71" t="s">
        <v>16</v>
      </c>
      <c r="E254" s="71" t="s">
        <v>17</v>
      </c>
      <c r="F254" s="71">
        <v>3791</v>
      </c>
      <c r="G254" s="71">
        <v>593</v>
      </c>
      <c r="H254" s="71">
        <v>228</v>
      </c>
      <c r="I254" s="71">
        <v>53074</v>
      </c>
      <c r="J254" s="71">
        <v>52613</v>
      </c>
      <c r="K254" s="71">
        <v>205</v>
      </c>
      <c r="L254" s="71" t="s">
        <v>163</v>
      </c>
      <c r="M254" s="71" t="s">
        <v>19</v>
      </c>
    </row>
    <row r="255" spans="1:13">
      <c r="A255" s="71" t="s">
        <v>486</v>
      </c>
      <c r="B255" s="71" t="s">
        <v>14</v>
      </c>
      <c r="C255" s="71" t="s">
        <v>487</v>
      </c>
      <c r="D255" s="71" t="s">
        <v>50</v>
      </c>
      <c r="E255" s="71" t="s">
        <v>51</v>
      </c>
      <c r="F255" s="71">
        <v>2692</v>
      </c>
      <c r="G255" s="71">
        <v>115</v>
      </c>
      <c r="H255" s="71">
        <v>64</v>
      </c>
      <c r="I255" s="71">
        <v>21536</v>
      </c>
      <c r="J255" s="71">
        <v>21120</v>
      </c>
      <c r="K255" s="71">
        <v>224</v>
      </c>
      <c r="L255" s="71" t="s">
        <v>179</v>
      </c>
      <c r="M255" s="71" t="s">
        <v>56</v>
      </c>
    </row>
    <row r="256" spans="1:13">
      <c r="A256" s="71" t="s">
        <v>488</v>
      </c>
      <c r="B256" s="71" t="s">
        <v>41</v>
      </c>
      <c r="C256" s="71" t="s">
        <v>21</v>
      </c>
      <c r="D256" s="71" t="s">
        <v>33</v>
      </c>
      <c r="E256" s="71" t="s">
        <v>34</v>
      </c>
      <c r="F256" s="71">
        <v>3767</v>
      </c>
      <c r="G256" s="71">
        <v>514</v>
      </c>
      <c r="H256" s="71">
        <v>238</v>
      </c>
      <c r="I256" s="71">
        <v>37670</v>
      </c>
      <c r="J256" s="71">
        <v>36807</v>
      </c>
      <c r="K256" s="71">
        <v>226</v>
      </c>
      <c r="L256" s="71" t="s">
        <v>163</v>
      </c>
      <c r="M256" s="71" t="s">
        <v>19</v>
      </c>
    </row>
    <row r="257" spans="1:13">
      <c r="A257" s="71" t="s">
        <v>489</v>
      </c>
      <c r="B257" s="71" t="s">
        <v>27</v>
      </c>
      <c r="C257" s="71" t="s">
        <v>248</v>
      </c>
      <c r="D257" s="71" t="s">
        <v>43</v>
      </c>
      <c r="E257" s="71" t="s">
        <v>44</v>
      </c>
      <c r="F257" s="71">
        <v>2143</v>
      </c>
      <c r="G257" s="71">
        <v>12</v>
      </c>
      <c r="H257" s="71">
        <v>204</v>
      </c>
      <c r="I257" s="71">
        <v>40717</v>
      </c>
      <c r="J257" s="71">
        <v>40125</v>
      </c>
      <c r="K257" s="71">
        <v>248</v>
      </c>
      <c r="L257" s="71" t="s">
        <v>128</v>
      </c>
      <c r="M257" s="71" t="s">
        <v>56</v>
      </c>
    </row>
    <row r="258" spans="1:13">
      <c r="A258" s="71" t="s">
        <v>490</v>
      </c>
      <c r="B258" s="71" t="s">
        <v>41</v>
      </c>
      <c r="C258" s="71" t="s">
        <v>289</v>
      </c>
      <c r="D258" s="71" t="s">
        <v>50</v>
      </c>
      <c r="E258" s="71" t="s">
        <v>51</v>
      </c>
      <c r="F258" s="71">
        <v>3090</v>
      </c>
      <c r="G258" s="71">
        <v>697</v>
      </c>
      <c r="H258" s="71">
        <v>164</v>
      </c>
      <c r="I258" s="71">
        <v>49440</v>
      </c>
      <c r="J258" s="71">
        <v>48524</v>
      </c>
      <c r="K258" s="71">
        <v>25</v>
      </c>
      <c r="L258" s="71" t="s">
        <v>265</v>
      </c>
      <c r="M258" s="71" t="s">
        <v>56</v>
      </c>
    </row>
    <row r="259" spans="1:13">
      <c r="A259" s="71" t="s">
        <v>491</v>
      </c>
      <c r="B259" s="71" t="s">
        <v>31</v>
      </c>
      <c r="C259" s="71" t="s">
        <v>492</v>
      </c>
      <c r="D259" s="71" t="s">
        <v>33</v>
      </c>
      <c r="E259" s="71" t="s">
        <v>34</v>
      </c>
      <c r="F259" s="71">
        <v>3601</v>
      </c>
      <c r="G259" s="71">
        <v>695</v>
      </c>
      <c r="H259" s="71">
        <v>75</v>
      </c>
      <c r="I259" s="71">
        <v>21606</v>
      </c>
      <c r="J259" s="71">
        <v>21454</v>
      </c>
      <c r="K259" s="71">
        <v>172</v>
      </c>
      <c r="L259" s="71" t="s">
        <v>59</v>
      </c>
      <c r="M259" s="71" t="s">
        <v>25</v>
      </c>
    </row>
    <row r="260" spans="1:13">
      <c r="A260" s="71" t="s">
        <v>493</v>
      </c>
      <c r="B260" s="71" t="s">
        <v>41</v>
      </c>
      <c r="C260" s="71" t="s">
        <v>245</v>
      </c>
      <c r="D260" s="71" t="s">
        <v>22</v>
      </c>
      <c r="E260" s="71" t="s">
        <v>23</v>
      </c>
      <c r="F260" s="71">
        <v>562</v>
      </c>
      <c r="G260" s="71">
        <v>158</v>
      </c>
      <c r="H260" s="71">
        <v>149</v>
      </c>
      <c r="I260" s="71">
        <v>3372</v>
      </c>
      <c r="J260" s="71">
        <v>2940</v>
      </c>
      <c r="K260" s="71">
        <v>93</v>
      </c>
      <c r="L260" s="71" t="s">
        <v>128</v>
      </c>
      <c r="M260" s="71" t="s">
        <v>56</v>
      </c>
    </row>
    <row r="261" spans="1:13">
      <c r="A261" s="71" t="s">
        <v>494</v>
      </c>
      <c r="B261" s="71" t="s">
        <v>31</v>
      </c>
      <c r="C261" s="71" t="s">
        <v>495</v>
      </c>
      <c r="D261" s="71" t="s">
        <v>33</v>
      </c>
      <c r="E261" s="71" t="s">
        <v>34</v>
      </c>
      <c r="F261" s="71">
        <v>4332</v>
      </c>
      <c r="G261" s="71">
        <v>771</v>
      </c>
      <c r="H261" s="71">
        <v>219</v>
      </c>
      <c r="I261" s="71">
        <v>60648</v>
      </c>
      <c r="J261" s="71">
        <v>60397</v>
      </c>
      <c r="K261" s="71">
        <v>10</v>
      </c>
      <c r="L261" s="71" t="s">
        <v>24</v>
      </c>
      <c r="M261" s="71" t="s">
        <v>39</v>
      </c>
    </row>
    <row r="262" spans="1:13">
      <c r="A262" s="71" t="s">
        <v>496</v>
      </c>
      <c r="B262" s="71" t="s">
        <v>31</v>
      </c>
      <c r="C262" s="71" t="s">
        <v>497</v>
      </c>
      <c r="D262" s="71" t="s">
        <v>50</v>
      </c>
      <c r="E262" s="71" t="s">
        <v>51</v>
      </c>
      <c r="F262" s="71">
        <v>4853</v>
      </c>
      <c r="G262" s="71">
        <v>837</v>
      </c>
      <c r="H262" s="71">
        <v>340</v>
      </c>
      <c r="I262" s="71">
        <v>72795</v>
      </c>
      <c r="J262" s="71">
        <v>72237</v>
      </c>
      <c r="K262" s="71">
        <v>170</v>
      </c>
      <c r="L262" s="71" t="s">
        <v>18</v>
      </c>
      <c r="M262" s="71" t="s">
        <v>25</v>
      </c>
    </row>
    <row r="263" spans="1:13">
      <c r="A263" s="71" t="s">
        <v>498</v>
      </c>
      <c r="B263" s="71" t="s">
        <v>27</v>
      </c>
      <c r="C263" s="71" t="s">
        <v>466</v>
      </c>
      <c r="D263" s="71" t="s">
        <v>50</v>
      </c>
      <c r="E263" s="71" t="s">
        <v>51</v>
      </c>
      <c r="F263" s="71">
        <v>1206</v>
      </c>
      <c r="G263" s="71">
        <v>238</v>
      </c>
      <c r="H263" s="71">
        <v>36</v>
      </c>
      <c r="I263" s="71">
        <v>9648</v>
      </c>
      <c r="J263" s="71">
        <v>9417</v>
      </c>
      <c r="K263" s="71">
        <v>237</v>
      </c>
      <c r="L263" s="71" t="s">
        <v>83</v>
      </c>
      <c r="M263" s="71" t="s">
        <v>39</v>
      </c>
    </row>
    <row r="264" spans="1:13">
      <c r="A264" s="71" t="s">
        <v>499</v>
      </c>
      <c r="B264" s="71" t="s">
        <v>31</v>
      </c>
      <c r="C264" s="71" t="s">
        <v>500</v>
      </c>
      <c r="D264" s="71" t="s">
        <v>16</v>
      </c>
      <c r="E264" s="71" t="s">
        <v>17</v>
      </c>
      <c r="F264" s="71">
        <v>2603</v>
      </c>
      <c r="G264" s="71">
        <v>690</v>
      </c>
      <c r="H264" s="71">
        <v>205</v>
      </c>
      <c r="I264" s="71">
        <v>13015</v>
      </c>
      <c r="J264" s="71">
        <v>12130</v>
      </c>
      <c r="K264" s="71">
        <v>20</v>
      </c>
      <c r="L264" s="71" t="s">
        <v>45</v>
      </c>
      <c r="M264" s="71" t="s">
        <v>19</v>
      </c>
    </row>
    <row r="265" spans="1:13">
      <c r="A265" s="71" t="s">
        <v>501</v>
      </c>
      <c r="B265" s="71" t="s">
        <v>14</v>
      </c>
      <c r="C265" s="71" t="s">
        <v>502</v>
      </c>
      <c r="D265" s="71" t="s">
        <v>50</v>
      </c>
      <c r="E265" s="71" t="s">
        <v>51</v>
      </c>
      <c r="F265" s="71">
        <v>59</v>
      </c>
      <c r="G265" s="71">
        <v>163</v>
      </c>
      <c r="H265" s="71">
        <v>93</v>
      </c>
      <c r="I265" s="71">
        <v>590</v>
      </c>
      <c r="J265" s="71">
        <v>475</v>
      </c>
      <c r="K265" s="71">
        <v>293</v>
      </c>
      <c r="L265" s="71" t="s">
        <v>45</v>
      </c>
      <c r="M265" s="71" t="s">
        <v>56</v>
      </c>
    </row>
    <row r="266" spans="1:13">
      <c r="A266" s="71" t="s">
        <v>503</v>
      </c>
      <c r="B266" s="71" t="s">
        <v>14</v>
      </c>
      <c r="C266" s="71" t="s">
        <v>504</v>
      </c>
      <c r="D266" s="71" t="s">
        <v>43</v>
      </c>
      <c r="E266" s="71" t="s">
        <v>44</v>
      </c>
      <c r="F266" s="71">
        <v>1877</v>
      </c>
      <c r="G266" s="71">
        <v>745</v>
      </c>
      <c r="H266" s="71">
        <v>225</v>
      </c>
      <c r="I266" s="71">
        <v>11262</v>
      </c>
      <c r="J266" s="71">
        <v>10967</v>
      </c>
      <c r="K266" s="71">
        <v>41</v>
      </c>
      <c r="L266" s="71" t="s">
        <v>62</v>
      </c>
      <c r="M266" s="71" t="s">
        <v>19</v>
      </c>
    </row>
    <row r="267" spans="1:13">
      <c r="A267" s="71" t="s">
        <v>505</v>
      </c>
      <c r="B267" s="71" t="s">
        <v>41</v>
      </c>
      <c r="C267" s="71" t="s">
        <v>127</v>
      </c>
      <c r="D267" s="71" t="s">
        <v>33</v>
      </c>
      <c r="E267" s="71" t="s">
        <v>34</v>
      </c>
      <c r="F267" s="71">
        <v>4182</v>
      </c>
      <c r="G267" s="71">
        <v>640</v>
      </c>
      <c r="H267" s="71">
        <v>240</v>
      </c>
      <c r="I267" s="71">
        <v>50184</v>
      </c>
      <c r="J267" s="71">
        <v>49351</v>
      </c>
      <c r="K267" s="71">
        <v>10</v>
      </c>
      <c r="L267" s="71" t="s">
        <v>83</v>
      </c>
      <c r="M267" s="71" t="s">
        <v>39</v>
      </c>
    </row>
    <row r="268" spans="1:13">
      <c r="A268" s="71" t="s">
        <v>506</v>
      </c>
      <c r="B268" s="71" t="s">
        <v>14</v>
      </c>
      <c r="C268" s="71" t="s">
        <v>392</v>
      </c>
      <c r="D268" s="71" t="s">
        <v>16</v>
      </c>
      <c r="E268" s="71" t="s">
        <v>17</v>
      </c>
      <c r="F268" s="71">
        <v>4187</v>
      </c>
      <c r="G268" s="71">
        <v>66</v>
      </c>
      <c r="H268" s="71">
        <v>31</v>
      </c>
      <c r="I268" s="71">
        <v>66992</v>
      </c>
      <c r="J268" s="71">
        <v>66614</v>
      </c>
      <c r="K268" s="71">
        <v>62</v>
      </c>
      <c r="L268" s="71" t="s">
        <v>59</v>
      </c>
      <c r="M268" s="71" t="s">
        <v>56</v>
      </c>
    </row>
    <row r="269" spans="1:13">
      <c r="A269" s="71" t="s">
        <v>507</v>
      </c>
      <c r="B269" s="71" t="s">
        <v>31</v>
      </c>
      <c r="C269" s="71" t="s">
        <v>508</v>
      </c>
      <c r="D269" s="71" t="s">
        <v>16</v>
      </c>
      <c r="E269" s="71" t="s">
        <v>17</v>
      </c>
      <c r="F269" s="71">
        <v>4579</v>
      </c>
      <c r="G269" s="71">
        <v>125</v>
      </c>
      <c r="H269" s="71">
        <v>300</v>
      </c>
      <c r="I269" s="71">
        <v>59527</v>
      </c>
      <c r="J269" s="71">
        <v>59400</v>
      </c>
      <c r="K269" s="71">
        <v>269</v>
      </c>
      <c r="L269" s="71" t="s">
        <v>38</v>
      </c>
      <c r="M269" s="71" t="s">
        <v>19</v>
      </c>
    </row>
    <row r="270" spans="1:13">
      <c r="A270" s="71" t="s">
        <v>509</v>
      </c>
      <c r="B270" s="71" t="s">
        <v>31</v>
      </c>
      <c r="C270" s="71" t="s">
        <v>510</v>
      </c>
      <c r="D270" s="71" t="s">
        <v>70</v>
      </c>
      <c r="E270" s="71" t="s">
        <v>71</v>
      </c>
      <c r="F270" s="71">
        <v>4561</v>
      </c>
      <c r="G270" s="71">
        <v>51</v>
      </c>
      <c r="H270" s="71">
        <v>441</v>
      </c>
      <c r="I270" s="71">
        <v>22805</v>
      </c>
      <c r="J270" s="71">
        <v>21890</v>
      </c>
      <c r="K270" s="71">
        <v>45</v>
      </c>
      <c r="L270" s="71" t="s">
        <v>59</v>
      </c>
      <c r="M270" s="71" t="s">
        <v>25</v>
      </c>
    </row>
    <row r="271" spans="1:13">
      <c r="A271" s="71" t="s">
        <v>511</v>
      </c>
      <c r="B271" s="71" t="s">
        <v>27</v>
      </c>
      <c r="C271" s="71" t="s">
        <v>410</v>
      </c>
      <c r="D271" s="71" t="s">
        <v>16</v>
      </c>
      <c r="E271" s="71" t="s">
        <v>17</v>
      </c>
      <c r="F271" s="71">
        <v>3774</v>
      </c>
      <c r="G271" s="71">
        <v>239</v>
      </c>
      <c r="H271" s="71">
        <v>39</v>
      </c>
      <c r="I271" s="71">
        <v>60384</v>
      </c>
      <c r="J271" s="71">
        <v>59490</v>
      </c>
      <c r="K271" s="71">
        <v>241</v>
      </c>
      <c r="L271" s="71" t="s">
        <v>78</v>
      </c>
      <c r="M271" s="71" t="s">
        <v>39</v>
      </c>
    </row>
    <row r="272" spans="1:13">
      <c r="A272" s="71" t="s">
        <v>512</v>
      </c>
      <c r="B272" s="71" t="s">
        <v>31</v>
      </c>
      <c r="C272" s="71" t="s">
        <v>513</v>
      </c>
      <c r="D272" s="71" t="s">
        <v>70</v>
      </c>
      <c r="E272" s="71" t="s">
        <v>71</v>
      </c>
      <c r="F272" s="71">
        <v>3575</v>
      </c>
      <c r="G272" s="71">
        <v>749</v>
      </c>
      <c r="H272" s="71">
        <v>111</v>
      </c>
      <c r="I272" s="71">
        <v>21450</v>
      </c>
      <c r="J272" s="71">
        <v>20785</v>
      </c>
      <c r="K272" s="71">
        <v>195</v>
      </c>
      <c r="L272" s="71" t="s">
        <v>78</v>
      </c>
      <c r="M272" s="71" t="s">
        <v>39</v>
      </c>
    </row>
    <row r="273" spans="1:13">
      <c r="A273" s="71" t="s">
        <v>514</v>
      </c>
      <c r="B273" s="71" t="s">
        <v>31</v>
      </c>
      <c r="C273" s="71" t="s">
        <v>482</v>
      </c>
      <c r="D273" s="71" t="s">
        <v>22</v>
      </c>
      <c r="E273" s="71" t="s">
        <v>23</v>
      </c>
      <c r="F273" s="71">
        <v>4941</v>
      </c>
      <c r="G273" s="71">
        <v>414</v>
      </c>
      <c r="H273" s="71">
        <v>266</v>
      </c>
      <c r="I273" s="71">
        <v>39528</v>
      </c>
      <c r="J273" s="71">
        <v>39154</v>
      </c>
      <c r="K273" s="71">
        <v>217</v>
      </c>
      <c r="L273" s="71" t="s">
        <v>18</v>
      </c>
      <c r="M273" s="71" t="s">
        <v>25</v>
      </c>
    </row>
    <row r="274" spans="1:13">
      <c r="A274" s="71" t="s">
        <v>515</v>
      </c>
      <c r="B274" s="71" t="s">
        <v>27</v>
      </c>
      <c r="C274" s="71" t="s">
        <v>516</v>
      </c>
      <c r="D274" s="71" t="s">
        <v>33</v>
      </c>
      <c r="E274" s="71" t="s">
        <v>34</v>
      </c>
      <c r="F274" s="71">
        <v>3641</v>
      </c>
      <c r="G274" s="71">
        <v>226</v>
      </c>
      <c r="H274" s="71">
        <v>46</v>
      </c>
      <c r="I274" s="71">
        <v>40051</v>
      </c>
      <c r="J274" s="71">
        <v>39319</v>
      </c>
      <c r="K274" s="71">
        <v>296</v>
      </c>
      <c r="L274" s="71" t="s">
        <v>45</v>
      </c>
      <c r="M274" s="71" t="s">
        <v>25</v>
      </c>
    </row>
    <row r="275" spans="1:13">
      <c r="A275" s="71" t="s">
        <v>517</v>
      </c>
      <c r="B275" s="71" t="s">
        <v>14</v>
      </c>
      <c r="C275" s="71" t="s">
        <v>332</v>
      </c>
      <c r="D275" s="71" t="s">
        <v>43</v>
      </c>
      <c r="E275" s="71" t="s">
        <v>44</v>
      </c>
      <c r="F275" s="71">
        <v>3535</v>
      </c>
      <c r="G275" s="71">
        <v>494</v>
      </c>
      <c r="H275" s="71">
        <v>152</v>
      </c>
      <c r="I275" s="71">
        <v>53025</v>
      </c>
      <c r="J275" s="71">
        <v>52791</v>
      </c>
      <c r="K275" s="71">
        <v>44</v>
      </c>
      <c r="L275" s="71" t="s">
        <v>215</v>
      </c>
      <c r="M275" s="71" t="s">
        <v>25</v>
      </c>
    </row>
    <row r="276" spans="1:13">
      <c r="A276" s="71" t="s">
        <v>518</v>
      </c>
      <c r="B276" s="71" t="s">
        <v>41</v>
      </c>
      <c r="C276" s="71" t="s">
        <v>492</v>
      </c>
      <c r="D276" s="71" t="s">
        <v>16</v>
      </c>
      <c r="E276" s="71" t="s">
        <v>17</v>
      </c>
      <c r="F276" s="71">
        <v>1741</v>
      </c>
      <c r="G276" s="71">
        <v>831</v>
      </c>
      <c r="H276" s="71">
        <v>345</v>
      </c>
      <c r="I276" s="71">
        <v>17410</v>
      </c>
      <c r="J276" s="71">
        <v>16844</v>
      </c>
      <c r="K276" s="71">
        <v>58</v>
      </c>
      <c r="L276" s="71" t="s">
        <v>72</v>
      </c>
      <c r="M276" s="71" t="s">
        <v>56</v>
      </c>
    </row>
    <row r="277" spans="1:13">
      <c r="A277" s="71" t="s">
        <v>519</v>
      </c>
      <c r="B277" s="71" t="s">
        <v>14</v>
      </c>
      <c r="C277" s="71" t="s">
        <v>520</v>
      </c>
      <c r="D277" s="71" t="s">
        <v>43</v>
      </c>
      <c r="E277" s="71" t="s">
        <v>44</v>
      </c>
      <c r="F277" s="71">
        <v>1556</v>
      </c>
      <c r="G277" s="71">
        <v>195</v>
      </c>
      <c r="H277" s="71">
        <v>131</v>
      </c>
      <c r="I277" s="71">
        <v>9336</v>
      </c>
      <c r="J277" s="71">
        <v>8875</v>
      </c>
      <c r="K277" s="71">
        <v>137</v>
      </c>
      <c r="L277" s="71" t="s">
        <v>24</v>
      </c>
      <c r="M277" s="71" t="s">
        <v>25</v>
      </c>
    </row>
    <row r="278" spans="1:13">
      <c r="A278" s="71" t="s">
        <v>521</v>
      </c>
      <c r="B278" s="71" t="s">
        <v>41</v>
      </c>
      <c r="C278" s="71" t="s">
        <v>289</v>
      </c>
      <c r="D278" s="71" t="s">
        <v>50</v>
      </c>
      <c r="E278" s="71" t="s">
        <v>51</v>
      </c>
      <c r="F278" s="71">
        <v>4236</v>
      </c>
      <c r="G278" s="71">
        <v>711</v>
      </c>
      <c r="H278" s="71">
        <v>298</v>
      </c>
      <c r="I278" s="71">
        <v>21180</v>
      </c>
      <c r="J278" s="71">
        <v>20516</v>
      </c>
      <c r="K278" s="71">
        <v>238</v>
      </c>
      <c r="L278" s="71" t="s">
        <v>210</v>
      </c>
      <c r="M278" s="71" t="s">
        <v>56</v>
      </c>
    </row>
    <row r="279" spans="1:13">
      <c r="A279" s="71" t="s">
        <v>522</v>
      </c>
      <c r="B279" s="71" t="s">
        <v>14</v>
      </c>
      <c r="C279" s="71" t="s">
        <v>523</v>
      </c>
      <c r="D279" s="71" t="s">
        <v>22</v>
      </c>
      <c r="E279" s="71" t="s">
        <v>23</v>
      </c>
      <c r="F279" s="71">
        <v>4516</v>
      </c>
      <c r="G279" s="71">
        <v>836</v>
      </c>
      <c r="H279" s="71">
        <v>169</v>
      </c>
      <c r="I279" s="71">
        <v>49676</v>
      </c>
      <c r="J279" s="71">
        <v>49257</v>
      </c>
      <c r="K279" s="71">
        <v>282</v>
      </c>
      <c r="L279" s="71" t="s">
        <v>45</v>
      </c>
      <c r="M279" s="71" t="s">
        <v>19</v>
      </c>
    </row>
    <row r="280" spans="1:13">
      <c r="A280" s="71" t="s">
        <v>524</v>
      </c>
      <c r="B280" s="71" t="s">
        <v>27</v>
      </c>
      <c r="C280" s="71" t="s">
        <v>192</v>
      </c>
      <c r="D280" s="71" t="s">
        <v>50</v>
      </c>
      <c r="E280" s="71" t="s">
        <v>51</v>
      </c>
      <c r="F280" s="71">
        <v>4905</v>
      </c>
      <c r="G280" s="71">
        <v>845</v>
      </c>
      <c r="H280" s="71">
        <v>129</v>
      </c>
      <c r="I280" s="71">
        <v>98100</v>
      </c>
      <c r="J280" s="71">
        <v>97772</v>
      </c>
      <c r="K280" s="71">
        <v>279</v>
      </c>
      <c r="L280" s="71" t="s">
        <v>45</v>
      </c>
      <c r="M280" s="71" t="s">
        <v>56</v>
      </c>
    </row>
    <row r="281" spans="1:13">
      <c r="A281" s="71" t="s">
        <v>525</v>
      </c>
      <c r="B281" s="71" t="s">
        <v>27</v>
      </c>
      <c r="C281" s="71" t="s">
        <v>165</v>
      </c>
      <c r="D281" s="71" t="s">
        <v>70</v>
      </c>
      <c r="E281" s="71" t="s">
        <v>71</v>
      </c>
      <c r="F281" s="71">
        <v>4275</v>
      </c>
      <c r="G281" s="71">
        <v>680</v>
      </c>
      <c r="H281" s="71">
        <v>385</v>
      </c>
      <c r="I281" s="71">
        <v>64125</v>
      </c>
      <c r="J281" s="71">
        <v>63650</v>
      </c>
      <c r="K281" s="71">
        <v>104</v>
      </c>
      <c r="L281" s="71" t="s">
        <v>59</v>
      </c>
      <c r="M281" s="71" t="s">
        <v>56</v>
      </c>
    </row>
    <row r="282" spans="1:13">
      <c r="A282" s="71" t="s">
        <v>526</v>
      </c>
      <c r="B282" s="71" t="s">
        <v>27</v>
      </c>
      <c r="C282" s="71" t="s">
        <v>527</v>
      </c>
      <c r="D282" s="71" t="s">
        <v>50</v>
      </c>
      <c r="E282" s="71" t="s">
        <v>51</v>
      </c>
      <c r="F282" s="71">
        <v>3166</v>
      </c>
      <c r="G282" s="71">
        <v>90</v>
      </c>
      <c r="H282" s="71">
        <v>341</v>
      </c>
      <c r="I282" s="71">
        <v>56988</v>
      </c>
      <c r="J282" s="71">
        <v>56125</v>
      </c>
      <c r="K282" s="71">
        <v>135</v>
      </c>
      <c r="L282" s="71" t="s">
        <v>147</v>
      </c>
      <c r="M282" s="71" t="s">
        <v>25</v>
      </c>
    </row>
    <row r="283" spans="1:13">
      <c r="A283" s="71" t="s">
        <v>528</v>
      </c>
      <c r="B283" s="71" t="s">
        <v>31</v>
      </c>
      <c r="C283" s="71" t="s">
        <v>529</v>
      </c>
      <c r="D283" s="71" t="s">
        <v>70</v>
      </c>
      <c r="E283" s="71" t="s">
        <v>71</v>
      </c>
      <c r="F283" s="71">
        <v>1488</v>
      </c>
      <c r="G283" s="71">
        <v>417</v>
      </c>
      <c r="H283" s="71">
        <v>168</v>
      </c>
      <c r="I283" s="71">
        <v>19344</v>
      </c>
      <c r="J283" s="71">
        <v>18395</v>
      </c>
      <c r="K283" s="71">
        <v>30</v>
      </c>
      <c r="L283" s="71" t="s">
        <v>18</v>
      </c>
      <c r="M283" s="71" t="s">
        <v>19</v>
      </c>
    </row>
    <row r="284" spans="1:13">
      <c r="A284" s="71" t="s">
        <v>530</v>
      </c>
      <c r="B284" s="71" t="s">
        <v>14</v>
      </c>
      <c r="C284" s="71" t="s">
        <v>531</v>
      </c>
      <c r="D284" s="71" t="s">
        <v>16</v>
      </c>
      <c r="E284" s="71" t="s">
        <v>17</v>
      </c>
      <c r="F284" s="71">
        <v>3367</v>
      </c>
      <c r="G284" s="71">
        <v>302</v>
      </c>
      <c r="H284" s="71">
        <v>57</v>
      </c>
      <c r="I284" s="71">
        <v>63973</v>
      </c>
      <c r="J284" s="71">
        <v>63789</v>
      </c>
      <c r="K284" s="71">
        <v>157</v>
      </c>
      <c r="L284" s="71" t="s">
        <v>106</v>
      </c>
      <c r="M284" s="71" t="s">
        <v>39</v>
      </c>
    </row>
    <row r="285" spans="1:13">
      <c r="A285" s="71" t="s">
        <v>532</v>
      </c>
      <c r="B285" s="71" t="s">
        <v>14</v>
      </c>
      <c r="C285" s="71" t="s">
        <v>100</v>
      </c>
      <c r="D285" s="71" t="s">
        <v>22</v>
      </c>
      <c r="E285" s="71" t="s">
        <v>23</v>
      </c>
      <c r="F285" s="71">
        <v>571</v>
      </c>
      <c r="G285" s="71">
        <v>190</v>
      </c>
      <c r="H285" s="71">
        <v>352</v>
      </c>
      <c r="I285" s="71">
        <v>9707</v>
      </c>
      <c r="J285" s="71">
        <v>9418</v>
      </c>
      <c r="K285" s="71">
        <v>231</v>
      </c>
      <c r="L285" s="71" t="s">
        <v>78</v>
      </c>
      <c r="M285" s="71" t="s">
        <v>25</v>
      </c>
    </row>
    <row r="286" spans="1:13">
      <c r="A286" s="71" t="s">
        <v>533</v>
      </c>
      <c r="B286" s="71" t="s">
        <v>27</v>
      </c>
      <c r="C286" s="71" t="s">
        <v>425</v>
      </c>
      <c r="D286" s="71" t="s">
        <v>22</v>
      </c>
      <c r="E286" s="71" t="s">
        <v>23</v>
      </c>
      <c r="F286" s="71">
        <v>4021</v>
      </c>
      <c r="G286" s="71">
        <v>794</v>
      </c>
      <c r="H286" s="71">
        <v>77</v>
      </c>
      <c r="I286" s="71">
        <v>36189</v>
      </c>
      <c r="J286" s="71">
        <v>35505</v>
      </c>
      <c r="K286" s="71">
        <v>174</v>
      </c>
      <c r="L286" s="71" t="s">
        <v>265</v>
      </c>
      <c r="M286" s="71" t="s">
        <v>19</v>
      </c>
    </row>
    <row r="287" spans="1:13">
      <c r="A287" s="71" t="s">
        <v>534</v>
      </c>
      <c r="B287" s="71" t="s">
        <v>27</v>
      </c>
      <c r="C287" s="71" t="s">
        <v>535</v>
      </c>
      <c r="D287" s="71" t="s">
        <v>70</v>
      </c>
      <c r="E287" s="71" t="s">
        <v>71</v>
      </c>
      <c r="F287" s="71">
        <v>3389</v>
      </c>
      <c r="G287" s="71">
        <v>344</v>
      </c>
      <c r="H287" s="71">
        <v>229</v>
      </c>
      <c r="I287" s="71">
        <v>20334</v>
      </c>
      <c r="J287" s="71">
        <v>19443</v>
      </c>
      <c r="K287" s="71">
        <v>228</v>
      </c>
      <c r="L287" s="71" t="s">
        <v>29</v>
      </c>
      <c r="M287" s="71" t="s">
        <v>25</v>
      </c>
    </row>
    <row r="288" spans="1:13">
      <c r="A288" s="71" t="s">
        <v>536</v>
      </c>
      <c r="B288" s="71" t="s">
        <v>31</v>
      </c>
      <c r="C288" s="71" t="s">
        <v>400</v>
      </c>
      <c r="D288" s="71" t="s">
        <v>16</v>
      </c>
      <c r="E288" s="71" t="s">
        <v>17</v>
      </c>
      <c r="F288" s="71">
        <v>1164</v>
      </c>
      <c r="G288" s="71">
        <v>616</v>
      </c>
      <c r="H288" s="71">
        <v>324</v>
      </c>
      <c r="I288" s="71">
        <v>6984</v>
      </c>
      <c r="J288" s="71">
        <v>6636</v>
      </c>
      <c r="K288" s="71">
        <v>82</v>
      </c>
      <c r="L288" s="71" t="s">
        <v>286</v>
      </c>
      <c r="M288" s="71" t="s">
        <v>39</v>
      </c>
    </row>
    <row r="289" spans="1:13">
      <c r="A289" s="71" t="s">
        <v>537</v>
      </c>
      <c r="B289" s="71" t="s">
        <v>27</v>
      </c>
      <c r="C289" s="71" t="s">
        <v>538</v>
      </c>
      <c r="D289" s="71" t="s">
        <v>43</v>
      </c>
      <c r="E289" s="71" t="s">
        <v>44</v>
      </c>
      <c r="F289" s="71">
        <v>4780</v>
      </c>
      <c r="G289" s="71">
        <v>691</v>
      </c>
      <c r="H289" s="71">
        <v>380</v>
      </c>
      <c r="I289" s="71">
        <v>86040</v>
      </c>
      <c r="J289" s="71">
        <v>85743</v>
      </c>
      <c r="K289" s="71">
        <v>262</v>
      </c>
      <c r="L289" s="71" t="s">
        <v>72</v>
      </c>
      <c r="M289" s="71" t="s">
        <v>39</v>
      </c>
    </row>
    <row r="290" spans="1:13">
      <c r="A290" s="71" t="s">
        <v>539</v>
      </c>
      <c r="B290" s="71" t="s">
        <v>41</v>
      </c>
      <c r="C290" s="71" t="s">
        <v>305</v>
      </c>
      <c r="D290" s="71" t="s">
        <v>43</v>
      </c>
      <c r="E290" s="71" t="s">
        <v>44</v>
      </c>
      <c r="F290" s="71">
        <v>2751</v>
      </c>
      <c r="G290" s="71">
        <v>33</v>
      </c>
      <c r="H290" s="71">
        <v>430</v>
      </c>
      <c r="I290" s="71">
        <v>44016</v>
      </c>
      <c r="J290" s="71">
        <v>43415</v>
      </c>
      <c r="K290" s="71">
        <v>129</v>
      </c>
      <c r="L290" s="71" t="s">
        <v>215</v>
      </c>
      <c r="M290" s="71" t="s">
        <v>25</v>
      </c>
    </row>
    <row r="291" spans="1:13">
      <c r="A291" s="71" t="s">
        <v>540</v>
      </c>
      <c r="B291" s="71" t="s">
        <v>31</v>
      </c>
      <c r="C291" s="71" t="s">
        <v>541</v>
      </c>
      <c r="D291" s="71" t="s">
        <v>43</v>
      </c>
      <c r="E291" s="71" t="s">
        <v>44</v>
      </c>
      <c r="F291" s="71">
        <v>2107</v>
      </c>
      <c r="G291" s="71">
        <v>550</v>
      </c>
      <c r="H291" s="71">
        <v>349</v>
      </c>
      <c r="I291" s="71">
        <v>35819</v>
      </c>
      <c r="J291" s="71">
        <v>35340</v>
      </c>
      <c r="K291" s="71">
        <v>191</v>
      </c>
      <c r="L291" s="71" t="s">
        <v>45</v>
      </c>
      <c r="M291" s="71" t="s">
        <v>39</v>
      </c>
    </row>
    <row r="292" spans="1:13">
      <c r="A292" s="71" t="s">
        <v>542</v>
      </c>
      <c r="B292" s="71" t="s">
        <v>41</v>
      </c>
      <c r="C292" s="71" t="s">
        <v>92</v>
      </c>
      <c r="D292" s="71" t="s">
        <v>70</v>
      </c>
      <c r="E292" s="71" t="s">
        <v>71</v>
      </c>
      <c r="F292" s="71">
        <v>4663</v>
      </c>
      <c r="G292" s="71">
        <v>145</v>
      </c>
      <c r="H292" s="71">
        <v>225</v>
      </c>
      <c r="I292" s="71">
        <v>69945</v>
      </c>
      <c r="J292" s="71">
        <v>69596</v>
      </c>
      <c r="K292" s="71">
        <v>35</v>
      </c>
      <c r="L292" s="71" t="s">
        <v>24</v>
      </c>
      <c r="M292" s="71" t="s">
        <v>25</v>
      </c>
    </row>
    <row r="293" spans="1:13">
      <c r="A293" s="71" t="s">
        <v>543</v>
      </c>
      <c r="B293" s="71" t="s">
        <v>41</v>
      </c>
      <c r="C293" s="71" t="s">
        <v>544</v>
      </c>
      <c r="D293" s="71" t="s">
        <v>22</v>
      </c>
      <c r="E293" s="71" t="s">
        <v>23</v>
      </c>
      <c r="F293" s="71">
        <v>880</v>
      </c>
      <c r="G293" s="71">
        <v>297</v>
      </c>
      <c r="H293" s="71">
        <v>345</v>
      </c>
      <c r="I293" s="71">
        <v>12320</v>
      </c>
      <c r="J293" s="71">
        <v>11978</v>
      </c>
      <c r="K293" s="71">
        <v>238</v>
      </c>
      <c r="L293" s="71" t="s">
        <v>18</v>
      </c>
      <c r="M293" s="71" t="s">
        <v>25</v>
      </c>
    </row>
    <row r="294" spans="1:13">
      <c r="A294" s="71" t="s">
        <v>545</v>
      </c>
      <c r="B294" s="71" t="s">
        <v>41</v>
      </c>
      <c r="C294" s="71" t="s">
        <v>546</v>
      </c>
      <c r="D294" s="71" t="s">
        <v>22</v>
      </c>
      <c r="E294" s="71" t="s">
        <v>23</v>
      </c>
      <c r="F294" s="71">
        <v>2634</v>
      </c>
      <c r="G294" s="71">
        <v>726</v>
      </c>
      <c r="H294" s="71">
        <v>241</v>
      </c>
      <c r="I294" s="71">
        <v>28974</v>
      </c>
      <c r="J294" s="71">
        <v>28102</v>
      </c>
      <c r="K294" s="71">
        <v>277</v>
      </c>
      <c r="L294" s="71" t="s">
        <v>59</v>
      </c>
      <c r="M294" s="71" t="s">
        <v>39</v>
      </c>
    </row>
    <row r="295" spans="1:13">
      <c r="A295" s="71" t="s">
        <v>547</v>
      </c>
      <c r="B295" s="71" t="s">
        <v>41</v>
      </c>
      <c r="C295" s="71" t="s">
        <v>548</v>
      </c>
      <c r="D295" s="71" t="s">
        <v>43</v>
      </c>
      <c r="E295" s="71" t="s">
        <v>44</v>
      </c>
      <c r="F295" s="71">
        <v>4731</v>
      </c>
      <c r="G295" s="71">
        <v>173</v>
      </c>
      <c r="H295" s="71">
        <v>276</v>
      </c>
      <c r="I295" s="71">
        <v>28386</v>
      </c>
      <c r="J295" s="71">
        <v>28185</v>
      </c>
      <c r="K295" s="71">
        <v>89</v>
      </c>
      <c r="L295" s="71" t="s">
        <v>106</v>
      </c>
      <c r="M295" s="71" t="s">
        <v>56</v>
      </c>
    </row>
    <row r="296" spans="1:13">
      <c r="A296" s="71" t="s">
        <v>549</v>
      </c>
      <c r="B296" s="71" t="s">
        <v>14</v>
      </c>
      <c r="C296" s="71" t="s">
        <v>431</v>
      </c>
      <c r="D296" s="71" t="s">
        <v>50</v>
      </c>
      <c r="E296" s="71" t="s">
        <v>51</v>
      </c>
      <c r="F296" s="71">
        <v>1952</v>
      </c>
      <c r="G296" s="71">
        <v>344</v>
      </c>
      <c r="H296" s="71">
        <v>287</v>
      </c>
      <c r="I296" s="71">
        <v>15616</v>
      </c>
      <c r="J296" s="71">
        <v>15403</v>
      </c>
      <c r="K296" s="71">
        <v>235</v>
      </c>
      <c r="L296" s="71" t="s">
        <v>67</v>
      </c>
      <c r="M296" s="71" t="s">
        <v>39</v>
      </c>
    </row>
    <row r="297" spans="1:13">
      <c r="A297" s="71" t="s">
        <v>550</v>
      </c>
      <c r="B297" s="71" t="s">
        <v>14</v>
      </c>
      <c r="C297" s="71" t="s">
        <v>551</v>
      </c>
      <c r="D297" s="71" t="s">
        <v>70</v>
      </c>
      <c r="E297" s="71" t="s">
        <v>71</v>
      </c>
      <c r="F297" s="71">
        <v>3440</v>
      </c>
      <c r="G297" s="71">
        <v>13</v>
      </c>
      <c r="H297" s="71">
        <v>20</v>
      </c>
      <c r="I297" s="71">
        <v>58480</v>
      </c>
      <c r="J297" s="71">
        <v>58146</v>
      </c>
      <c r="K297" s="71">
        <v>210</v>
      </c>
      <c r="L297" s="71" t="s">
        <v>72</v>
      </c>
      <c r="M297" s="71" t="s">
        <v>19</v>
      </c>
    </row>
    <row r="298" spans="1:13">
      <c r="A298" s="71" t="s">
        <v>552</v>
      </c>
      <c r="B298" s="71" t="s">
        <v>14</v>
      </c>
      <c r="C298" s="71" t="s">
        <v>553</v>
      </c>
      <c r="D298" s="71" t="s">
        <v>22</v>
      </c>
      <c r="E298" s="71" t="s">
        <v>23</v>
      </c>
      <c r="F298" s="71">
        <v>2166</v>
      </c>
      <c r="G298" s="71">
        <v>354</v>
      </c>
      <c r="H298" s="71">
        <v>117</v>
      </c>
      <c r="I298" s="71">
        <v>10830</v>
      </c>
      <c r="J298" s="71">
        <v>10245</v>
      </c>
      <c r="K298" s="71">
        <v>24</v>
      </c>
      <c r="L298" s="71" t="s">
        <v>88</v>
      </c>
      <c r="M298" s="71" t="s">
        <v>19</v>
      </c>
    </row>
    <row r="299" spans="1:13">
      <c r="A299" s="71" t="s">
        <v>554</v>
      </c>
      <c r="B299" s="71" t="s">
        <v>41</v>
      </c>
      <c r="C299" s="71" t="s">
        <v>69</v>
      </c>
      <c r="D299" s="71" t="s">
        <v>50</v>
      </c>
      <c r="E299" s="71" t="s">
        <v>51</v>
      </c>
      <c r="F299" s="71">
        <v>4303</v>
      </c>
      <c r="G299" s="71">
        <v>451</v>
      </c>
      <c r="H299" s="71">
        <v>286</v>
      </c>
      <c r="I299" s="71">
        <v>86060</v>
      </c>
      <c r="J299" s="71">
        <v>85823</v>
      </c>
      <c r="K299" s="71">
        <v>14</v>
      </c>
      <c r="L299" s="71" t="s">
        <v>18</v>
      </c>
      <c r="M299" s="71" t="s">
        <v>25</v>
      </c>
    </row>
    <row r="300" spans="1:13">
      <c r="A300" s="71" t="s">
        <v>555</v>
      </c>
      <c r="B300" s="71" t="s">
        <v>41</v>
      </c>
      <c r="C300" s="71" t="s">
        <v>74</v>
      </c>
      <c r="D300" s="71" t="s">
        <v>50</v>
      </c>
      <c r="E300" s="71" t="s">
        <v>51</v>
      </c>
      <c r="F300" s="71">
        <v>2581</v>
      </c>
      <c r="G300" s="71">
        <v>517</v>
      </c>
      <c r="H300" s="71">
        <v>117</v>
      </c>
      <c r="I300" s="71">
        <v>23229</v>
      </c>
      <c r="J300" s="71">
        <v>22331</v>
      </c>
      <c r="K300" s="71">
        <v>70</v>
      </c>
      <c r="L300" s="71" t="s">
        <v>83</v>
      </c>
      <c r="M300" s="71" t="s">
        <v>25</v>
      </c>
    </row>
    <row r="301" spans="1:13">
      <c r="A301" s="71" t="s">
        <v>556</v>
      </c>
      <c r="B301" s="71" t="s">
        <v>14</v>
      </c>
      <c r="C301" s="71" t="s">
        <v>315</v>
      </c>
      <c r="D301" s="71" t="s">
        <v>43</v>
      </c>
      <c r="E301" s="71" t="s">
        <v>44</v>
      </c>
      <c r="F301" s="71">
        <v>4494</v>
      </c>
      <c r="G301" s="71">
        <v>717</v>
      </c>
      <c r="H301" s="71">
        <v>45</v>
      </c>
      <c r="I301" s="71">
        <v>62916</v>
      </c>
      <c r="J301" s="71">
        <v>62688</v>
      </c>
      <c r="K301" s="71">
        <v>191</v>
      </c>
      <c r="L301" s="71" t="s">
        <v>24</v>
      </c>
      <c r="M301" s="71" t="s">
        <v>19</v>
      </c>
    </row>
  </sheetData>
  <mergeCells count="1">
    <mergeCell ref="P5:Y12"/>
  </mergeCells>
  <hyperlinks>
    <hyperlink ref="P5:Y12" r:id="rId1" display="video link :" xr:uid="{8C8A7B32-44AB-4DA7-B02E-2200E8EA91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606F-1722-4DE7-B679-8B39F0C8B31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6F39-D0CF-4D20-B0F7-764954694C72}">
  <sheetPr>
    <tabColor theme="8"/>
  </sheetPr>
  <dimension ref="A1:S201"/>
  <sheetViews>
    <sheetView topLeftCell="XEH1048550" workbookViewId="0">
      <selection activeCell="J6" sqref="J6:XFD1048576"/>
    </sheetView>
  </sheetViews>
  <sheetFormatPr defaultRowHeight="14.45"/>
  <cols>
    <col min="1" max="1" width="18" bestFit="1" customWidth="1"/>
    <col min="2" max="2" width="10.5703125" bestFit="1" customWidth="1"/>
    <col min="3" max="3" width="16" bestFit="1" customWidth="1"/>
    <col min="4" max="4" width="11.7109375" bestFit="1" customWidth="1"/>
    <col min="5" max="5" width="16.42578125" bestFit="1" customWidth="1"/>
    <col min="6" max="6" width="18.7109375" bestFit="1" customWidth="1"/>
    <col min="7" max="7" width="11.85546875" bestFit="1" customWidth="1"/>
    <col min="8" max="8" width="17.7109375" style="24" bestFit="1" customWidth="1"/>
    <col min="10" max="10" width="12.5703125" bestFit="1" customWidth="1"/>
    <col min="11" max="11" width="22.140625" bestFit="1" customWidth="1"/>
  </cols>
  <sheetData>
    <row r="1" spans="1:19" ht="15">
      <c r="A1" t="s">
        <v>557</v>
      </c>
      <c r="B1" t="s">
        <v>1</v>
      </c>
      <c r="C1" t="s">
        <v>558</v>
      </c>
      <c r="D1" t="s">
        <v>559</v>
      </c>
      <c r="E1" t="s">
        <v>560</v>
      </c>
      <c r="F1" t="s">
        <v>561</v>
      </c>
      <c r="G1" t="s">
        <v>562</v>
      </c>
      <c r="H1" s="38" t="s">
        <v>563</v>
      </c>
    </row>
    <row r="2" spans="1:19">
      <c r="A2" s="1">
        <v>45446</v>
      </c>
      <c r="B2" t="s">
        <v>31</v>
      </c>
      <c r="C2">
        <v>1135</v>
      </c>
      <c r="D2">
        <v>88</v>
      </c>
      <c r="E2">
        <v>344084</v>
      </c>
      <c r="F2">
        <v>8.06</v>
      </c>
      <c r="G2">
        <v>5904</v>
      </c>
      <c r="H2" s="39">
        <f>Engagment_Summary_1[[#This Row],[New_Followers]]-Engagment_Summary_1[[#This Row],[Unfollows]]</f>
        <v>1047</v>
      </c>
    </row>
    <row r="3" spans="1:19">
      <c r="A3" s="1">
        <v>45446</v>
      </c>
      <c r="B3" t="s">
        <v>41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 s="39">
        <f>Engagment_Summary_1[[#This Row],[New_Followers]]-Engagment_Summary_1[[#This Row],[Unfollows]]</f>
        <v>1002</v>
      </c>
    </row>
    <row r="4" spans="1:19">
      <c r="A4" s="1">
        <v>45446</v>
      </c>
      <c r="B4" t="s">
        <v>14</v>
      </c>
      <c r="C4">
        <v>584</v>
      </c>
      <c r="D4">
        <v>169</v>
      </c>
      <c r="E4">
        <v>146834</v>
      </c>
      <c r="F4">
        <v>8.31</v>
      </c>
      <c r="G4">
        <v>26752</v>
      </c>
      <c r="H4" s="39">
        <f>Engagment_Summary_1[[#This Row],[New_Followers]]-Engagment_Summary_1[[#This Row],[Unfollows]]</f>
        <v>415</v>
      </c>
    </row>
    <row r="5" spans="1:19">
      <c r="A5" s="1">
        <v>45446</v>
      </c>
      <c r="B5" t="s">
        <v>27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 s="39">
        <f>Engagment_Summary_1[[#This Row],[New_Followers]]-Engagment_Summary_1[[#This Row],[Unfollows]]</f>
        <v>1090</v>
      </c>
    </row>
    <row r="6" spans="1:19" ht="15">
      <c r="A6" s="1">
        <v>45453</v>
      </c>
      <c r="B6" t="s">
        <v>31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 s="39">
        <f>Engagment_Summary_1[[#This Row],[New_Followers]]-Engagment_Summary_1[[#This Row],[Unfollows]]</f>
        <v>517</v>
      </c>
      <c r="J6" s="43" t="s">
        <v>35</v>
      </c>
      <c r="K6" s="43"/>
      <c r="L6" s="43"/>
      <c r="M6" s="43"/>
      <c r="N6" s="43"/>
      <c r="O6" s="43"/>
      <c r="P6" s="43"/>
      <c r="Q6" s="43"/>
      <c r="R6" s="43"/>
      <c r="S6" s="43"/>
    </row>
    <row r="7" spans="1:19" ht="15">
      <c r="A7" s="1">
        <v>45453</v>
      </c>
      <c r="B7" t="s">
        <v>41</v>
      </c>
      <c r="C7">
        <v>1697</v>
      </c>
      <c r="D7">
        <v>414</v>
      </c>
      <c r="E7">
        <v>316555</v>
      </c>
      <c r="F7">
        <v>2.37</v>
      </c>
      <c r="G7">
        <v>7924</v>
      </c>
      <c r="H7" s="39">
        <f>Engagment_Summary_1[[#This Row],[New_Followers]]-Engagment_Summary_1[[#This Row],[Unfollows]]</f>
        <v>1283</v>
      </c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1:19" ht="15">
      <c r="A8" s="1">
        <v>45453</v>
      </c>
      <c r="B8" t="s">
        <v>14</v>
      </c>
      <c r="C8">
        <v>436</v>
      </c>
      <c r="D8">
        <v>250</v>
      </c>
      <c r="E8">
        <v>254347</v>
      </c>
      <c r="F8">
        <v>4.01</v>
      </c>
      <c r="G8">
        <v>8912</v>
      </c>
      <c r="H8" s="39">
        <f>Engagment_Summary_1[[#This Row],[New_Followers]]-Engagment_Summary_1[[#This Row],[Unfollows]]</f>
        <v>186</v>
      </c>
      <c r="J8" s="43"/>
      <c r="K8" s="43"/>
      <c r="L8" s="43"/>
      <c r="M8" s="43"/>
      <c r="N8" s="43"/>
      <c r="O8" s="43"/>
      <c r="P8" s="43"/>
      <c r="Q8" s="43"/>
      <c r="R8" s="43"/>
      <c r="S8" s="43"/>
    </row>
    <row r="9" spans="1:19" ht="15">
      <c r="A9" s="1">
        <v>45453</v>
      </c>
      <c r="B9" t="s">
        <v>27</v>
      </c>
      <c r="C9">
        <v>1197</v>
      </c>
      <c r="D9">
        <v>203</v>
      </c>
      <c r="E9">
        <v>413878</v>
      </c>
      <c r="F9">
        <v>3.16</v>
      </c>
      <c r="G9">
        <v>21205</v>
      </c>
      <c r="H9" s="39">
        <f>Engagment_Summary_1[[#This Row],[New_Followers]]-Engagment_Summary_1[[#This Row],[Unfollows]]</f>
        <v>994</v>
      </c>
      <c r="J9" s="43"/>
      <c r="K9" s="43"/>
      <c r="L9" s="43"/>
      <c r="M9" s="43"/>
      <c r="N9" s="43"/>
      <c r="O9" s="43"/>
      <c r="P9" s="43"/>
      <c r="Q9" s="43"/>
      <c r="R9" s="43"/>
      <c r="S9" s="43"/>
    </row>
    <row r="10" spans="1:19" ht="15">
      <c r="A10" s="1">
        <v>45460</v>
      </c>
      <c r="B10" t="s">
        <v>31</v>
      </c>
      <c r="C10">
        <v>1048</v>
      </c>
      <c r="D10">
        <v>155</v>
      </c>
      <c r="E10">
        <v>456946</v>
      </c>
      <c r="F10">
        <v>2.46</v>
      </c>
      <c r="G10">
        <v>11329</v>
      </c>
      <c r="H10" s="39">
        <f>Engagment_Summary_1[[#This Row],[New_Followers]]-Engagment_Summary_1[[#This Row],[Unfollows]]</f>
        <v>893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</row>
    <row r="11" spans="1:19" ht="15">
      <c r="A11" s="1">
        <v>45460</v>
      </c>
      <c r="B11" t="s">
        <v>41</v>
      </c>
      <c r="C11">
        <v>1753</v>
      </c>
      <c r="D11">
        <v>371</v>
      </c>
      <c r="E11">
        <v>169496</v>
      </c>
      <c r="F11">
        <v>8.11</v>
      </c>
      <c r="G11">
        <v>46670</v>
      </c>
      <c r="H11" s="39">
        <f>Engagment_Summary_1[[#This Row],[New_Followers]]-Engagment_Summary_1[[#This Row],[Unfollows]]</f>
        <v>1382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</row>
    <row r="12" spans="1:19" ht="15">
      <c r="A12" s="1">
        <v>45460</v>
      </c>
      <c r="B12" t="s">
        <v>14</v>
      </c>
      <c r="C12">
        <v>1335</v>
      </c>
      <c r="D12">
        <v>40</v>
      </c>
      <c r="E12">
        <v>122732</v>
      </c>
      <c r="F12">
        <v>8.19</v>
      </c>
      <c r="G12">
        <v>22482</v>
      </c>
      <c r="H12" s="39">
        <f>Engagment_Summary_1[[#This Row],[New_Followers]]-Engagment_Summary_1[[#This Row],[Unfollows]]</f>
        <v>1295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</row>
    <row r="13" spans="1:19" ht="15">
      <c r="A13" s="1">
        <v>45460</v>
      </c>
      <c r="B13" t="s">
        <v>27</v>
      </c>
      <c r="C13">
        <v>403</v>
      </c>
      <c r="D13">
        <v>66</v>
      </c>
      <c r="E13">
        <v>382851</v>
      </c>
      <c r="F13">
        <v>3.49</v>
      </c>
      <c r="G13">
        <v>24313</v>
      </c>
      <c r="H13" s="39">
        <f>Engagment_Summary_1[[#This Row],[New_Followers]]-Engagment_Summary_1[[#This Row],[Unfollows]]</f>
        <v>337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</row>
    <row r="14" spans="1:19">
      <c r="A14" s="1">
        <v>45467</v>
      </c>
      <c r="B14" t="s">
        <v>31</v>
      </c>
      <c r="C14">
        <v>911</v>
      </c>
      <c r="D14">
        <v>282</v>
      </c>
      <c r="E14">
        <v>35664</v>
      </c>
      <c r="F14">
        <v>6.92</v>
      </c>
      <c r="G14">
        <v>18050</v>
      </c>
      <c r="H14" s="39">
        <f>Engagment_Summary_1[[#This Row],[New_Followers]]-Engagment_Summary_1[[#This Row],[Unfollows]]</f>
        <v>629</v>
      </c>
    </row>
    <row r="15" spans="1:19">
      <c r="A15" s="1">
        <v>45467</v>
      </c>
      <c r="B15" t="s">
        <v>41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 s="39">
        <f>Engagment_Summary_1[[#This Row],[New_Followers]]-Engagment_Summary_1[[#This Row],[Unfollows]]</f>
        <v>1670</v>
      </c>
    </row>
    <row r="16" spans="1:19">
      <c r="A16" s="1">
        <v>45467</v>
      </c>
      <c r="B16" t="s">
        <v>14</v>
      </c>
      <c r="C16">
        <v>1238</v>
      </c>
      <c r="D16">
        <v>403</v>
      </c>
      <c r="E16">
        <v>298421</v>
      </c>
      <c r="F16">
        <v>3.5</v>
      </c>
      <c r="G16">
        <v>31280</v>
      </c>
      <c r="H16" s="39">
        <f>Engagment_Summary_1[[#This Row],[New_Followers]]-Engagment_Summary_1[[#This Row],[Unfollows]]</f>
        <v>835</v>
      </c>
    </row>
    <row r="17" spans="1:8">
      <c r="A17" s="1">
        <v>45467</v>
      </c>
      <c r="B17" t="s">
        <v>27</v>
      </c>
      <c r="C17">
        <v>308</v>
      </c>
      <c r="D17">
        <v>431</v>
      </c>
      <c r="E17">
        <v>426184</v>
      </c>
      <c r="F17">
        <v>2.62</v>
      </c>
      <c r="G17">
        <v>1783</v>
      </c>
      <c r="H17" s="39">
        <f>Engagment_Summary_1[[#This Row],[New_Followers]]-Engagment_Summary_1[[#This Row],[Unfollows]]</f>
        <v>-123</v>
      </c>
    </row>
    <row r="18" spans="1:8">
      <c r="A18" s="1">
        <v>45474</v>
      </c>
      <c r="B18" t="s">
        <v>31</v>
      </c>
      <c r="C18">
        <v>226</v>
      </c>
      <c r="D18">
        <v>445</v>
      </c>
      <c r="E18">
        <v>419447</v>
      </c>
      <c r="F18">
        <v>9.36</v>
      </c>
      <c r="G18">
        <v>9566</v>
      </c>
      <c r="H18" s="39">
        <f>Engagment_Summary_1[[#This Row],[New_Followers]]-Engagment_Summary_1[[#This Row],[Unfollows]]</f>
        <v>-219</v>
      </c>
    </row>
    <row r="19" spans="1:8">
      <c r="A19" s="1">
        <v>45474</v>
      </c>
      <c r="B19" t="s">
        <v>41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 s="39">
        <f>Engagment_Summary_1[[#This Row],[New_Followers]]-Engagment_Summary_1[[#This Row],[Unfollows]]</f>
        <v>64</v>
      </c>
    </row>
    <row r="20" spans="1:8">
      <c r="A20" s="1">
        <v>45474</v>
      </c>
      <c r="B20" t="s">
        <v>14</v>
      </c>
      <c r="C20">
        <v>1420</v>
      </c>
      <c r="D20">
        <v>63</v>
      </c>
      <c r="E20">
        <v>315305</v>
      </c>
      <c r="F20">
        <v>6.19</v>
      </c>
      <c r="G20">
        <v>5914</v>
      </c>
      <c r="H20" s="39">
        <f>Engagment_Summary_1[[#This Row],[New_Followers]]-Engagment_Summary_1[[#This Row],[Unfollows]]</f>
        <v>1357</v>
      </c>
    </row>
    <row r="21" spans="1:8">
      <c r="A21" s="1">
        <v>45474</v>
      </c>
      <c r="B21" t="s">
        <v>27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 s="39">
        <f>Engagment_Summary_1[[#This Row],[New_Followers]]-Engagment_Summary_1[[#This Row],[Unfollows]]</f>
        <v>91</v>
      </c>
    </row>
    <row r="22" spans="1:8">
      <c r="A22" s="1">
        <v>45481</v>
      </c>
      <c r="B22" t="s">
        <v>31</v>
      </c>
      <c r="C22">
        <v>1757</v>
      </c>
      <c r="D22">
        <v>85</v>
      </c>
      <c r="E22">
        <v>58223</v>
      </c>
      <c r="F22">
        <v>8.74</v>
      </c>
      <c r="G22">
        <v>22728</v>
      </c>
      <c r="H22" s="39">
        <f>Engagment_Summary_1[[#This Row],[New_Followers]]-Engagment_Summary_1[[#This Row],[Unfollows]]</f>
        <v>1672</v>
      </c>
    </row>
    <row r="23" spans="1:8">
      <c r="A23" s="1">
        <v>45481</v>
      </c>
      <c r="B23" t="s">
        <v>41</v>
      </c>
      <c r="C23">
        <v>350</v>
      </c>
      <c r="D23">
        <v>41</v>
      </c>
      <c r="E23">
        <v>251694</v>
      </c>
      <c r="F23">
        <v>1.91</v>
      </c>
      <c r="G23">
        <v>38610</v>
      </c>
      <c r="H23" s="39">
        <f>Engagment_Summary_1[[#This Row],[New_Followers]]-Engagment_Summary_1[[#This Row],[Unfollows]]</f>
        <v>309</v>
      </c>
    </row>
    <row r="24" spans="1:8">
      <c r="A24" s="1">
        <v>45481</v>
      </c>
      <c r="B24" t="s">
        <v>14</v>
      </c>
      <c r="C24">
        <v>987</v>
      </c>
      <c r="D24">
        <v>440</v>
      </c>
      <c r="E24">
        <v>389810</v>
      </c>
      <c r="F24">
        <v>4.66</v>
      </c>
      <c r="G24">
        <v>2932</v>
      </c>
      <c r="H24" s="39">
        <f>Engagment_Summary_1[[#This Row],[New_Followers]]-Engagment_Summary_1[[#This Row],[Unfollows]]</f>
        <v>547</v>
      </c>
    </row>
    <row r="25" spans="1:8">
      <c r="A25" s="1">
        <v>45481</v>
      </c>
      <c r="B25" t="s">
        <v>27</v>
      </c>
      <c r="C25">
        <v>883</v>
      </c>
      <c r="D25">
        <v>369</v>
      </c>
      <c r="E25">
        <v>233694</v>
      </c>
      <c r="F25">
        <v>2.88</v>
      </c>
      <c r="G25">
        <v>15071</v>
      </c>
      <c r="H25" s="39">
        <f>Engagment_Summary_1[[#This Row],[New_Followers]]-Engagment_Summary_1[[#This Row],[Unfollows]]</f>
        <v>514</v>
      </c>
    </row>
    <row r="26" spans="1:8">
      <c r="A26" s="1">
        <v>45488</v>
      </c>
      <c r="B26" t="s">
        <v>31</v>
      </c>
      <c r="C26">
        <v>1960</v>
      </c>
      <c r="D26">
        <v>115</v>
      </c>
      <c r="E26">
        <v>154169</v>
      </c>
      <c r="F26">
        <v>3.74</v>
      </c>
      <c r="G26">
        <v>10740</v>
      </c>
      <c r="H26" s="39">
        <f>Engagment_Summary_1[[#This Row],[New_Followers]]-Engagment_Summary_1[[#This Row],[Unfollows]]</f>
        <v>1845</v>
      </c>
    </row>
    <row r="27" spans="1:8">
      <c r="A27" s="1">
        <v>45488</v>
      </c>
      <c r="B27" t="s">
        <v>41</v>
      </c>
      <c r="C27">
        <v>170</v>
      </c>
      <c r="D27">
        <v>334</v>
      </c>
      <c r="E27">
        <v>334626</v>
      </c>
      <c r="F27">
        <v>6.44</v>
      </c>
      <c r="G27">
        <v>43420</v>
      </c>
      <c r="H27" s="39">
        <f>Engagment_Summary_1[[#This Row],[New_Followers]]-Engagment_Summary_1[[#This Row],[Unfollows]]</f>
        <v>-164</v>
      </c>
    </row>
    <row r="28" spans="1:8">
      <c r="A28" s="1">
        <v>45488</v>
      </c>
      <c r="B28" t="s">
        <v>14</v>
      </c>
      <c r="C28">
        <v>704</v>
      </c>
      <c r="D28">
        <v>275</v>
      </c>
      <c r="E28">
        <v>226002</v>
      </c>
      <c r="F28">
        <v>8.56</v>
      </c>
      <c r="G28">
        <v>32393</v>
      </c>
      <c r="H28" s="39">
        <f>Engagment_Summary_1[[#This Row],[New_Followers]]-Engagment_Summary_1[[#This Row],[Unfollows]]</f>
        <v>429</v>
      </c>
    </row>
    <row r="29" spans="1:8">
      <c r="A29" s="1">
        <v>45488</v>
      </c>
      <c r="B29" t="s">
        <v>27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 s="39">
        <f>Engagment_Summary_1[[#This Row],[New_Followers]]-Engagment_Summary_1[[#This Row],[Unfollows]]</f>
        <v>160</v>
      </c>
    </row>
    <row r="30" spans="1:8">
      <c r="A30" s="1">
        <v>45495</v>
      </c>
      <c r="B30" t="s">
        <v>31</v>
      </c>
      <c r="C30">
        <v>508</v>
      </c>
      <c r="D30">
        <v>349</v>
      </c>
      <c r="E30">
        <v>473812</v>
      </c>
      <c r="F30">
        <v>7.88</v>
      </c>
      <c r="G30">
        <v>17328</v>
      </c>
      <c r="H30" s="39">
        <f>Engagment_Summary_1[[#This Row],[New_Followers]]-Engagment_Summary_1[[#This Row],[Unfollows]]</f>
        <v>159</v>
      </c>
    </row>
    <row r="31" spans="1:8">
      <c r="A31" s="1">
        <v>45495</v>
      </c>
      <c r="B31" t="s">
        <v>41</v>
      </c>
      <c r="C31">
        <v>1391</v>
      </c>
      <c r="D31">
        <v>430</v>
      </c>
      <c r="E31">
        <v>295032</v>
      </c>
      <c r="F31">
        <v>7.86</v>
      </c>
      <c r="G31">
        <v>26067</v>
      </c>
      <c r="H31" s="39">
        <f>Engagment_Summary_1[[#This Row],[New_Followers]]-Engagment_Summary_1[[#This Row],[Unfollows]]</f>
        <v>961</v>
      </c>
    </row>
    <row r="32" spans="1:8">
      <c r="A32" s="1">
        <v>45495</v>
      </c>
      <c r="B32" t="s">
        <v>14</v>
      </c>
      <c r="C32">
        <v>1701</v>
      </c>
      <c r="D32">
        <v>385</v>
      </c>
      <c r="E32">
        <v>198278</v>
      </c>
      <c r="F32">
        <v>5.34</v>
      </c>
      <c r="G32">
        <v>32763</v>
      </c>
      <c r="H32" s="39">
        <f>Engagment_Summary_1[[#This Row],[New_Followers]]-Engagment_Summary_1[[#This Row],[Unfollows]]</f>
        <v>1316</v>
      </c>
    </row>
    <row r="33" spans="1:8">
      <c r="A33" s="1">
        <v>45495</v>
      </c>
      <c r="B33" t="s">
        <v>27</v>
      </c>
      <c r="C33">
        <v>804</v>
      </c>
      <c r="D33">
        <v>487</v>
      </c>
      <c r="E33">
        <v>306564</v>
      </c>
      <c r="F33">
        <v>5.52</v>
      </c>
      <c r="G33">
        <v>26452</v>
      </c>
      <c r="H33" s="39">
        <f>Engagment_Summary_1[[#This Row],[New_Followers]]-Engagment_Summary_1[[#This Row],[Unfollows]]</f>
        <v>317</v>
      </c>
    </row>
    <row r="34" spans="1:8">
      <c r="A34" s="1">
        <v>45502</v>
      </c>
      <c r="B34" t="s">
        <v>31</v>
      </c>
      <c r="C34">
        <v>653</v>
      </c>
      <c r="D34">
        <v>112</v>
      </c>
      <c r="E34">
        <v>23664</v>
      </c>
      <c r="F34">
        <v>4.05</v>
      </c>
      <c r="G34">
        <v>15353</v>
      </c>
      <c r="H34" s="39">
        <f>Engagment_Summary_1[[#This Row],[New_Followers]]-Engagment_Summary_1[[#This Row],[Unfollows]]</f>
        <v>541</v>
      </c>
    </row>
    <row r="35" spans="1:8">
      <c r="A35" s="1">
        <v>45502</v>
      </c>
      <c r="B35" t="s">
        <v>41</v>
      </c>
      <c r="C35">
        <v>160</v>
      </c>
      <c r="D35">
        <v>478</v>
      </c>
      <c r="E35">
        <v>435034</v>
      </c>
      <c r="F35">
        <v>7.73</v>
      </c>
      <c r="G35">
        <v>4839</v>
      </c>
      <c r="H35" s="39">
        <f>Engagment_Summary_1[[#This Row],[New_Followers]]-Engagment_Summary_1[[#This Row],[Unfollows]]</f>
        <v>-318</v>
      </c>
    </row>
    <row r="36" spans="1:8">
      <c r="A36" s="1">
        <v>45502</v>
      </c>
      <c r="B36" t="s">
        <v>14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 s="39">
        <f>Engagment_Summary_1[[#This Row],[New_Followers]]-Engagment_Summary_1[[#This Row],[Unfollows]]</f>
        <v>1495</v>
      </c>
    </row>
    <row r="37" spans="1:8">
      <c r="A37" s="1">
        <v>45502</v>
      </c>
      <c r="B37" t="s">
        <v>27</v>
      </c>
      <c r="C37">
        <v>576</v>
      </c>
      <c r="D37">
        <v>101</v>
      </c>
      <c r="E37">
        <v>62499</v>
      </c>
      <c r="F37">
        <v>3.48</v>
      </c>
      <c r="G37">
        <v>16804</v>
      </c>
      <c r="H37" s="39">
        <f>Engagment_Summary_1[[#This Row],[New_Followers]]-Engagment_Summary_1[[#This Row],[Unfollows]]</f>
        <v>475</v>
      </c>
    </row>
    <row r="38" spans="1:8">
      <c r="A38" s="1">
        <v>45509</v>
      </c>
      <c r="B38" t="s">
        <v>31</v>
      </c>
      <c r="C38">
        <v>645</v>
      </c>
      <c r="D38">
        <v>293</v>
      </c>
      <c r="E38">
        <v>437968</v>
      </c>
      <c r="F38">
        <v>7.83</v>
      </c>
      <c r="G38">
        <v>49303</v>
      </c>
      <c r="H38" s="39">
        <f>Engagment_Summary_1[[#This Row],[New_Followers]]-Engagment_Summary_1[[#This Row],[Unfollows]]</f>
        <v>352</v>
      </c>
    </row>
    <row r="39" spans="1:8">
      <c r="A39" s="1">
        <v>45509</v>
      </c>
      <c r="B39" t="s">
        <v>41</v>
      </c>
      <c r="C39">
        <v>214</v>
      </c>
      <c r="D39">
        <v>411</v>
      </c>
      <c r="E39">
        <v>125034</v>
      </c>
      <c r="F39">
        <v>6.11</v>
      </c>
      <c r="G39">
        <v>26455</v>
      </c>
      <c r="H39" s="39">
        <f>Engagment_Summary_1[[#This Row],[New_Followers]]-Engagment_Summary_1[[#This Row],[Unfollows]]</f>
        <v>-197</v>
      </c>
    </row>
    <row r="40" spans="1:8">
      <c r="A40" s="1">
        <v>45509</v>
      </c>
      <c r="B40" t="s">
        <v>14</v>
      </c>
      <c r="C40">
        <v>826</v>
      </c>
      <c r="D40">
        <v>498</v>
      </c>
      <c r="E40">
        <v>449994</v>
      </c>
      <c r="F40">
        <v>9.43</v>
      </c>
      <c r="G40">
        <v>12384</v>
      </c>
      <c r="H40" s="39">
        <f>Engagment_Summary_1[[#This Row],[New_Followers]]-Engagment_Summary_1[[#This Row],[Unfollows]]</f>
        <v>328</v>
      </c>
    </row>
    <row r="41" spans="1:8">
      <c r="A41" s="1">
        <v>45509</v>
      </c>
      <c r="B41" t="s">
        <v>27</v>
      </c>
      <c r="C41">
        <v>460</v>
      </c>
      <c r="D41">
        <v>141</v>
      </c>
      <c r="E41">
        <v>320650</v>
      </c>
      <c r="F41">
        <v>4.04</v>
      </c>
      <c r="G41">
        <v>49372</v>
      </c>
      <c r="H41" s="39">
        <f>Engagment_Summary_1[[#This Row],[New_Followers]]-Engagment_Summary_1[[#This Row],[Unfollows]]</f>
        <v>319</v>
      </c>
    </row>
    <row r="42" spans="1:8">
      <c r="A42" s="1">
        <v>45516</v>
      </c>
      <c r="B42" t="s">
        <v>31</v>
      </c>
      <c r="C42">
        <v>1528</v>
      </c>
      <c r="D42">
        <v>203</v>
      </c>
      <c r="E42">
        <v>489188</v>
      </c>
      <c r="F42">
        <v>6.23</v>
      </c>
      <c r="G42">
        <v>47101</v>
      </c>
      <c r="H42" s="39">
        <f>Engagment_Summary_1[[#This Row],[New_Followers]]-Engagment_Summary_1[[#This Row],[Unfollows]]</f>
        <v>1325</v>
      </c>
    </row>
    <row r="43" spans="1:8">
      <c r="A43" s="1">
        <v>45516</v>
      </c>
      <c r="B43" t="s">
        <v>41</v>
      </c>
      <c r="C43">
        <v>1534</v>
      </c>
      <c r="D43">
        <v>200</v>
      </c>
      <c r="E43">
        <v>307612</v>
      </c>
      <c r="F43">
        <v>6.01</v>
      </c>
      <c r="G43">
        <v>37903</v>
      </c>
      <c r="H43" s="39">
        <f>Engagment_Summary_1[[#This Row],[New_Followers]]-Engagment_Summary_1[[#This Row],[Unfollows]]</f>
        <v>1334</v>
      </c>
    </row>
    <row r="44" spans="1:8">
      <c r="A44" s="1">
        <v>45516</v>
      </c>
      <c r="B44" t="s">
        <v>14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 s="39">
        <f>Engagment_Summary_1[[#This Row],[New_Followers]]-Engagment_Summary_1[[#This Row],[Unfollows]]</f>
        <v>37</v>
      </c>
    </row>
    <row r="45" spans="1:8">
      <c r="A45" s="1">
        <v>45516</v>
      </c>
      <c r="B45" t="s">
        <v>27</v>
      </c>
      <c r="C45">
        <v>1210</v>
      </c>
      <c r="D45">
        <v>178</v>
      </c>
      <c r="E45">
        <v>102042</v>
      </c>
      <c r="F45">
        <v>5.42</v>
      </c>
      <c r="G45">
        <v>6915</v>
      </c>
      <c r="H45" s="39">
        <f>Engagment_Summary_1[[#This Row],[New_Followers]]-Engagment_Summary_1[[#This Row],[Unfollows]]</f>
        <v>1032</v>
      </c>
    </row>
    <row r="46" spans="1:8">
      <c r="A46" s="1">
        <v>45523</v>
      </c>
      <c r="B46" t="s">
        <v>31</v>
      </c>
      <c r="C46">
        <v>215</v>
      </c>
      <c r="D46">
        <v>139</v>
      </c>
      <c r="E46">
        <v>325444</v>
      </c>
      <c r="F46">
        <v>3.25</v>
      </c>
      <c r="G46">
        <v>35501</v>
      </c>
      <c r="H46" s="39">
        <f>Engagment_Summary_1[[#This Row],[New_Followers]]-Engagment_Summary_1[[#This Row],[Unfollows]]</f>
        <v>76</v>
      </c>
    </row>
    <row r="47" spans="1:8">
      <c r="A47" s="1">
        <v>45523</v>
      </c>
      <c r="B47" t="s">
        <v>41</v>
      </c>
      <c r="C47">
        <v>1078</v>
      </c>
      <c r="D47">
        <v>20</v>
      </c>
      <c r="E47">
        <v>183924</v>
      </c>
      <c r="F47">
        <v>8.84</v>
      </c>
      <c r="G47">
        <v>14203</v>
      </c>
      <c r="H47" s="39">
        <f>Engagment_Summary_1[[#This Row],[New_Followers]]-Engagment_Summary_1[[#This Row],[Unfollows]]</f>
        <v>1058</v>
      </c>
    </row>
    <row r="48" spans="1:8">
      <c r="A48" s="1">
        <v>45523</v>
      </c>
      <c r="B48" t="s">
        <v>14</v>
      </c>
      <c r="C48">
        <v>1751</v>
      </c>
      <c r="D48">
        <v>86</v>
      </c>
      <c r="E48">
        <v>188655</v>
      </c>
      <c r="F48">
        <v>7.24</v>
      </c>
      <c r="G48">
        <v>22206</v>
      </c>
      <c r="H48" s="39">
        <f>Engagment_Summary_1[[#This Row],[New_Followers]]-Engagment_Summary_1[[#This Row],[Unfollows]]</f>
        <v>1665</v>
      </c>
    </row>
    <row r="49" spans="1:8">
      <c r="A49" s="1">
        <v>45523</v>
      </c>
      <c r="B49" t="s">
        <v>27</v>
      </c>
      <c r="C49">
        <v>221</v>
      </c>
      <c r="D49">
        <v>31</v>
      </c>
      <c r="E49">
        <v>87443</v>
      </c>
      <c r="F49">
        <v>6.19</v>
      </c>
      <c r="G49">
        <v>10283</v>
      </c>
      <c r="H49" s="39">
        <f>Engagment_Summary_1[[#This Row],[New_Followers]]-Engagment_Summary_1[[#This Row],[Unfollows]]</f>
        <v>190</v>
      </c>
    </row>
    <row r="50" spans="1:8">
      <c r="A50" s="1">
        <v>45530</v>
      </c>
      <c r="B50" t="s">
        <v>31</v>
      </c>
      <c r="C50">
        <v>1685</v>
      </c>
      <c r="D50">
        <v>76</v>
      </c>
      <c r="E50">
        <v>453799</v>
      </c>
      <c r="F50">
        <v>5.71</v>
      </c>
      <c r="G50">
        <v>24913</v>
      </c>
      <c r="H50" s="39">
        <f>Engagment_Summary_1[[#This Row],[New_Followers]]-Engagment_Summary_1[[#This Row],[Unfollows]]</f>
        <v>1609</v>
      </c>
    </row>
    <row r="51" spans="1:8">
      <c r="A51" s="1">
        <v>45530</v>
      </c>
      <c r="B51" t="s">
        <v>41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 s="39">
        <f>Engagment_Summary_1[[#This Row],[New_Followers]]-Engagment_Summary_1[[#This Row],[Unfollows]]</f>
        <v>37</v>
      </c>
    </row>
    <row r="52" spans="1:8">
      <c r="A52" s="1">
        <v>45530</v>
      </c>
      <c r="B52" t="s">
        <v>14</v>
      </c>
      <c r="C52">
        <v>1300</v>
      </c>
      <c r="D52">
        <v>71</v>
      </c>
      <c r="E52">
        <v>186454</v>
      </c>
      <c r="F52">
        <v>3.91</v>
      </c>
      <c r="G52">
        <v>9942</v>
      </c>
      <c r="H52" s="39">
        <f>Engagment_Summary_1[[#This Row],[New_Followers]]-Engagment_Summary_1[[#This Row],[Unfollows]]</f>
        <v>1229</v>
      </c>
    </row>
    <row r="53" spans="1:8">
      <c r="A53" s="1">
        <v>45530</v>
      </c>
      <c r="B53" t="s">
        <v>27</v>
      </c>
      <c r="C53">
        <v>422</v>
      </c>
      <c r="D53">
        <v>394</v>
      </c>
      <c r="E53">
        <v>239044</v>
      </c>
      <c r="F53">
        <v>7.83</v>
      </c>
      <c r="G53">
        <v>32929</v>
      </c>
      <c r="H53" s="39">
        <f>Engagment_Summary_1[[#This Row],[New_Followers]]-Engagment_Summary_1[[#This Row],[Unfollows]]</f>
        <v>28</v>
      </c>
    </row>
    <row r="54" spans="1:8">
      <c r="A54" s="1">
        <v>45537</v>
      </c>
      <c r="B54" t="s">
        <v>31</v>
      </c>
      <c r="C54">
        <v>1429</v>
      </c>
      <c r="D54">
        <v>182</v>
      </c>
      <c r="E54">
        <v>101332</v>
      </c>
      <c r="F54">
        <v>7.16</v>
      </c>
      <c r="G54">
        <v>37829</v>
      </c>
      <c r="H54" s="39">
        <f>Engagment_Summary_1[[#This Row],[New_Followers]]-Engagment_Summary_1[[#This Row],[Unfollows]]</f>
        <v>1247</v>
      </c>
    </row>
    <row r="55" spans="1:8">
      <c r="A55" s="1">
        <v>45537</v>
      </c>
      <c r="B55" t="s">
        <v>41</v>
      </c>
      <c r="C55">
        <v>1520</v>
      </c>
      <c r="D55">
        <v>475</v>
      </c>
      <c r="E55">
        <v>496982</v>
      </c>
      <c r="F55">
        <v>6.41</v>
      </c>
      <c r="G55">
        <v>24384</v>
      </c>
      <c r="H55" s="39">
        <f>Engagment_Summary_1[[#This Row],[New_Followers]]-Engagment_Summary_1[[#This Row],[Unfollows]]</f>
        <v>1045</v>
      </c>
    </row>
    <row r="56" spans="1:8">
      <c r="A56" s="1">
        <v>45537</v>
      </c>
      <c r="B56" t="s">
        <v>14</v>
      </c>
      <c r="C56">
        <v>557</v>
      </c>
      <c r="D56">
        <v>360</v>
      </c>
      <c r="E56">
        <v>318779</v>
      </c>
      <c r="F56">
        <v>8.02</v>
      </c>
      <c r="G56">
        <v>25797</v>
      </c>
      <c r="H56" s="39">
        <f>Engagment_Summary_1[[#This Row],[New_Followers]]-Engagment_Summary_1[[#This Row],[Unfollows]]</f>
        <v>197</v>
      </c>
    </row>
    <row r="57" spans="1:8">
      <c r="A57" s="1">
        <v>45537</v>
      </c>
      <c r="B57" t="s">
        <v>27</v>
      </c>
      <c r="C57">
        <v>728</v>
      </c>
      <c r="D57">
        <v>395</v>
      </c>
      <c r="E57">
        <v>370971</v>
      </c>
      <c r="F57">
        <v>3.86</v>
      </c>
      <c r="G57">
        <v>12646</v>
      </c>
      <c r="H57" s="39">
        <f>Engagment_Summary_1[[#This Row],[New_Followers]]-Engagment_Summary_1[[#This Row],[Unfollows]]</f>
        <v>333</v>
      </c>
    </row>
    <row r="58" spans="1:8">
      <c r="A58" s="1">
        <v>45544</v>
      </c>
      <c r="B58" t="s">
        <v>31</v>
      </c>
      <c r="C58">
        <v>1592</v>
      </c>
      <c r="D58">
        <v>20</v>
      </c>
      <c r="E58">
        <v>378054</v>
      </c>
      <c r="F58">
        <v>9.09</v>
      </c>
      <c r="G58">
        <v>26663</v>
      </c>
      <c r="H58" s="39">
        <f>Engagment_Summary_1[[#This Row],[New_Followers]]-Engagment_Summary_1[[#This Row],[Unfollows]]</f>
        <v>1572</v>
      </c>
    </row>
    <row r="59" spans="1:8">
      <c r="A59" s="1">
        <v>45544</v>
      </c>
      <c r="B59" t="s">
        <v>41</v>
      </c>
      <c r="C59">
        <v>1842</v>
      </c>
      <c r="D59">
        <v>414</v>
      </c>
      <c r="E59">
        <v>307524</v>
      </c>
      <c r="F59">
        <v>1.76</v>
      </c>
      <c r="G59">
        <v>40478</v>
      </c>
      <c r="H59" s="39">
        <f>Engagment_Summary_1[[#This Row],[New_Followers]]-Engagment_Summary_1[[#This Row],[Unfollows]]</f>
        <v>1428</v>
      </c>
    </row>
    <row r="60" spans="1:8">
      <c r="A60" s="1">
        <v>45544</v>
      </c>
      <c r="B60" t="s">
        <v>14</v>
      </c>
      <c r="C60">
        <v>751</v>
      </c>
      <c r="D60">
        <v>491</v>
      </c>
      <c r="E60">
        <v>434047</v>
      </c>
      <c r="F60">
        <v>9.24</v>
      </c>
      <c r="G60">
        <v>15476</v>
      </c>
      <c r="H60" s="39">
        <f>Engagment_Summary_1[[#This Row],[New_Followers]]-Engagment_Summary_1[[#This Row],[Unfollows]]</f>
        <v>260</v>
      </c>
    </row>
    <row r="61" spans="1:8">
      <c r="A61" s="1">
        <v>45544</v>
      </c>
      <c r="B61" t="s">
        <v>27</v>
      </c>
      <c r="C61">
        <v>1409</v>
      </c>
      <c r="D61">
        <v>309</v>
      </c>
      <c r="E61">
        <v>64583</v>
      </c>
      <c r="F61">
        <v>8.99</v>
      </c>
      <c r="G61">
        <v>10217</v>
      </c>
      <c r="H61" s="39">
        <f>Engagment_Summary_1[[#This Row],[New_Followers]]-Engagment_Summary_1[[#This Row],[Unfollows]]</f>
        <v>1100</v>
      </c>
    </row>
    <row r="62" spans="1:8">
      <c r="A62" s="1">
        <v>45551</v>
      </c>
      <c r="B62" t="s">
        <v>31</v>
      </c>
      <c r="C62">
        <v>778</v>
      </c>
      <c r="D62">
        <v>401</v>
      </c>
      <c r="E62">
        <v>50793</v>
      </c>
      <c r="F62">
        <v>3.4</v>
      </c>
      <c r="G62">
        <v>21939</v>
      </c>
      <c r="H62" s="39">
        <f>Engagment_Summary_1[[#This Row],[New_Followers]]-Engagment_Summary_1[[#This Row],[Unfollows]]</f>
        <v>377</v>
      </c>
    </row>
    <row r="63" spans="1:8">
      <c r="A63" s="1">
        <v>45551</v>
      </c>
      <c r="B63" t="s">
        <v>41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 s="39">
        <f>Engagment_Summary_1[[#This Row],[New_Followers]]-Engagment_Summary_1[[#This Row],[Unfollows]]</f>
        <v>98</v>
      </c>
    </row>
    <row r="64" spans="1:8">
      <c r="A64" s="1">
        <v>45551</v>
      </c>
      <c r="B64" t="s">
        <v>14</v>
      </c>
      <c r="C64">
        <v>1472</v>
      </c>
      <c r="D64">
        <v>347</v>
      </c>
      <c r="E64">
        <v>392355</v>
      </c>
      <c r="F64">
        <v>8.59</v>
      </c>
      <c r="G64">
        <v>30270</v>
      </c>
      <c r="H64" s="39">
        <f>Engagment_Summary_1[[#This Row],[New_Followers]]-Engagment_Summary_1[[#This Row],[Unfollows]]</f>
        <v>1125</v>
      </c>
    </row>
    <row r="65" spans="1:8">
      <c r="A65" s="1">
        <v>45551</v>
      </c>
      <c r="B65" t="s">
        <v>27</v>
      </c>
      <c r="C65">
        <v>123</v>
      </c>
      <c r="D65">
        <v>155</v>
      </c>
      <c r="E65">
        <v>119934</v>
      </c>
      <c r="F65">
        <v>3.5</v>
      </c>
      <c r="G65">
        <v>5442</v>
      </c>
      <c r="H65" s="39">
        <f>Engagment_Summary_1[[#This Row],[New_Followers]]-Engagment_Summary_1[[#This Row],[Unfollows]]</f>
        <v>-32</v>
      </c>
    </row>
    <row r="66" spans="1:8">
      <c r="A66" s="1">
        <v>45558</v>
      </c>
      <c r="B66" t="s">
        <v>31</v>
      </c>
      <c r="C66">
        <v>817</v>
      </c>
      <c r="D66">
        <v>151</v>
      </c>
      <c r="E66">
        <v>422625</v>
      </c>
      <c r="F66">
        <v>2.36</v>
      </c>
      <c r="G66">
        <v>1083</v>
      </c>
      <c r="H66" s="39">
        <f>Engagment_Summary_1[[#This Row],[New_Followers]]-Engagment_Summary_1[[#This Row],[Unfollows]]</f>
        <v>666</v>
      </c>
    </row>
    <row r="67" spans="1:8">
      <c r="A67" s="1">
        <v>45558</v>
      </c>
      <c r="B67" t="s">
        <v>41</v>
      </c>
      <c r="C67">
        <v>198</v>
      </c>
      <c r="D67">
        <v>217</v>
      </c>
      <c r="E67">
        <v>239753</v>
      </c>
      <c r="F67">
        <v>7.36</v>
      </c>
      <c r="G67">
        <v>11901</v>
      </c>
      <c r="H67" s="39">
        <f>Engagment_Summary_1[[#This Row],[New_Followers]]-Engagment_Summary_1[[#This Row],[Unfollows]]</f>
        <v>-19</v>
      </c>
    </row>
    <row r="68" spans="1:8">
      <c r="A68" s="1">
        <v>45558</v>
      </c>
      <c r="B68" t="s">
        <v>14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 s="39">
        <f>Engagment_Summary_1[[#This Row],[New_Followers]]-Engagment_Summary_1[[#This Row],[Unfollows]]</f>
        <v>1680</v>
      </c>
    </row>
    <row r="69" spans="1:8">
      <c r="A69" s="1">
        <v>45558</v>
      </c>
      <c r="B69" t="s">
        <v>27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 s="39">
        <f>Engagment_Summary_1[[#This Row],[New_Followers]]-Engagment_Summary_1[[#This Row],[Unfollows]]</f>
        <v>1006</v>
      </c>
    </row>
    <row r="70" spans="1:8">
      <c r="A70" s="1">
        <v>45565</v>
      </c>
      <c r="B70" t="s">
        <v>31</v>
      </c>
      <c r="C70">
        <v>1433</v>
      </c>
      <c r="D70">
        <v>408</v>
      </c>
      <c r="E70">
        <v>370269</v>
      </c>
      <c r="F70">
        <v>3.3</v>
      </c>
      <c r="G70">
        <v>30575</v>
      </c>
      <c r="H70" s="39">
        <f>Engagment_Summary_1[[#This Row],[New_Followers]]-Engagment_Summary_1[[#This Row],[Unfollows]]</f>
        <v>1025</v>
      </c>
    </row>
    <row r="71" spans="1:8">
      <c r="A71" s="1">
        <v>45565</v>
      </c>
      <c r="B71" t="s">
        <v>41</v>
      </c>
      <c r="C71">
        <v>250</v>
      </c>
      <c r="D71">
        <v>429</v>
      </c>
      <c r="E71">
        <v>453423</v>
      </c>
      <c r="F71">
        <v>1.77</v>
      </c>
      <c r="G71">
        <v>2315</v>
      </c>
      <c r="H71" s="39">
        <f>Engagment_Summary_1[[#This Row],[New_Followers]]-Engagment_Summary_1[[#This Row],[Unfollows]]</f>
        <v>-179</v>
      </c>
    </row>
    <row r="72" spans="1:8">
      <c r="A72" s="1">
        <v>45565</v>
      </c>
      <c r="B72" t="s">
        <v>14</v>
      </c>
      <c r="C72">
        <v>752</v>
      </c>
      <c r="D72">
        <v>153</v>
      </c>
      <c r="E72">
        <v>64906</v>
      </c>
      <c r="F72">
        <v>2.09</v>
      </c>
      <c r="G72">
        <v>12148</v>
      </c>
      <c r="H72" s="39">
        <f>Engagment_Summary_1[[#This Row],[New_Followers]]-Engagment_Summary_1[[#This Row],[Unfollows]]</f>
        <v>599</v>
      </c>
    </row>
    <row r="73" spans="1:8">
      <c r="A73" s="1">
        <v>45565</v>
      </c>
      <c r="B73" t="s">
        <v>27</v>
      </c>
      <c r="C73">
        <v>1918</v>
      </c>
      <c r="D73">
        <v>212</v>
      </c>
      <c r="E73">
        <v>94360</v>
      </c>
      <c r="F73">
        <v>7.36</v>
      </c>
      <c r="G73">
        <v>36851</v>
      </c>
      <c r="H73" s="39">
        <f>Engagment_Summary_1[[#This Row],[New_Followers]]-Engagment_Summary_1[[#This Row],[Unfollows]]</f>
        <v>1706</v>
      </c>
    </row>
    <row r="74" spans="1:8">
      <c r="A74" s="1">
        <v>45572</v>
      </c>
      <c r="B74" t="s">
        <v>31</v>
      </c>
      <c r="C74">
        <v>1939</v>
      </c>
      <c r="D74">
        <v>67</v>
      </c>
      <c r="E74">
        <v>187183</v>
      </c>
      <c r="F74">
        <v>6.25</v>
      </c>
      <c r="G74">
        <v>41215</v>
      </c>
      <c r="H74" s="39">
        <f>Engagment_Summary_1[[#This Row],[New_Followers]]-Engagment_Summary_1[[#This Row],[Unfollows]]</f>
        <v>1872</v>
      </c>
    </row>
    <row r="75" spans="1:8">
      <c r="A75" s="1">
        <v>45572</v>
      </c>
      <c r="B75" t="s">
        <v>41</v>
      </c>
      <c r="C75">
        <v>1929</v>
      </c>
      <c r="D75">
        <v>267</v>
      </c>
      <c r="E75">
        <v>379363</v>
      </c>
      <c r="F75">
        <v>1.75</v>
      </c>
      <c r="G75">
        <v>43836</v>
      </c>
      <c r="H75" s="39">
        <f>Engagment_Summary_1[[#This Row],[New_Followers]]-Engagment_Summary_1[[#This Row],[Unfollows]]</f>
        <v>1662</v>
      </c>
    </row>
    <row r="76" spans="1:8">
      <c r="A76" s="1">
        <v>45572</v>
      </c>
      <c r="B76" t="s">
        <v>14</v>
      </c>
      <c r="C76">
        <v>437</v>
      </c>
      <c r="D76">
        <v>330</v>
      </c>
      <c r="E76">
        <v>476486</v>
      </c>
      <c r="F76">
        <v>4.97</v>
      </c>
      <c r="G76">
        <v>4509</v>
      </c>
      <c r="H76" s="39">
        <f>Engagment_Summary_1[[#This Row],[New_Followers]]-Engagment_Summary_1[[#This Row],[Unfollows]]</f>
        <v>107</v>
      </c>
    </row>
    <row r="77" spans="1:8">
      <c r="A77" s="1">
        <v>45572</v>
      </c>
      <c r="B77" t="s">
        <v>27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 s="39">
        <f>Engagment_Summary_1[[#This Row],[New_Followers]]-Engagment_Summary_1[[#This Row],[Unfollows]]</f>
        <v>118</v>
      </c>
    </row>
    <row r="78" spans="1:8">
      <c r="A78" s="1">
        <v>45579</v>
      </c>
      <c r="B78" t="s">
        <v>31</v>
      </c>
      <c r="C78">
        <v>1527</v>
      </c>
      <c r="D78">
        <v>303</v>
      </c>
      <c r="E78">
        <v>388555</v>
      </c>
      <c r="F78">
        <v>8.9</v>
      </c>
      <c r="G78">
        <v>36397</v>
      </c>
      <c r="H78" s="39">
        <f>Engagment_Summary_1[[#This Row],[New_Followers]]-Engagment_Summary_1[[#This Row],[Unfollows]]</f>
        <v>1224</v>
      </c>
    </row>
    <row r="79" spans="1:8">
      <c r="A79" s="1">
        <v>45579</v>
      </c>
      <c r="B79" t="s">
        <v>41</v>
      </c>
      <c r="C79">
        <v>643</v>
      </c>
      <c r="D79">
        <v>358</v>
      </c>
      <c r="E79">
        <v>157599</v>
      </c>
      <c r="F79">
        <v>3.88</v>
      </c>
      <c r="G79">
        <v>7285</v>
      </c>
      <c r="H79" s="39">
        <f>Engagment_Summary_1[[#This Row],[New_Followers]]-Engagment_Summary_1[[#This Row],[Unfollows]]</f>
        <v>285</v>
      </c>
    </row>
    <row r="80" spans="1:8">
      <c r="A80" s="1">
        <v>45579</v>
      </c>
      <c r="B80" t="s">
        <v>14</v>
      </c>
      <c r="C80">
        <v>201</v>
      </c>
      <c r="D80">
        <v>221</v>
      </c>
      <c r="E80">
        <v>309772</v>
      </c>
      <c r="F80">
        <v>5.9</v>
      </c>
      <c r="G80">
        <v>33174</v>
      </c>
      <c r="H80" s="39">
        <f>Engagment_Summary_1[[#This Row],[New_Followers]]-Engagment_Summary_1[[#This Row],[Unfollows]]</f>
        <v>-20</v>
      </c>
    </row>
    <row r="81" spans="1:8">
      <c r="A81" s="1">
        <v>45579</v>
      </c>
      <c r="B81" t="s">
        <v>27</v>
      </c>
      <c r="C81">
        <v>414</v>
      </c>
      <c r="D81">
        <v>47</v>
      </c>
      <c r="E81">
        <v>199178</v>
      </c>
      <c r="F81">
        <v>1.53</v>
      </c>
      <c r="G81">
        <v>6742</v>
      </c>
      <c r="H81" s="39">
        <f>Engagment_Summary_1[[#This Row],[New_Followers]]-Engagment_Summary_1[[#This Row],[Unfollows]]</f>
        <v>367</v>
      </c>
    </row>
    <row r="82" spans="1:8">
      <c r="A82" s="1">
        <v>45586</v>
      </c>
      <c r="B82" t="s">
        <v>31</v>
      </c>
      <c r="C82">
        <v>703</v>
      </c>
      <c r="D82">
        <v>441</v>
      </c>
      <c r="E82">
        <v>357089</v>
      </c>
      <c r="F82">
        <v>6.5</v>
      </c>
      <c r="G82">
        <v>32478</v>
      </c>
      <c r="H82" s="39">
        <f>Engagment_Summary_1[[#This Row],[New_Followers]]-Engagment_Summary_1[[#This Row],[Unfollows]]</f>
        <v>262</v>
      </c>
    </row>
    <row r="83" spans="1:8">
      <c r="A83" s="1">
        <v>45586</v>
      </c>
      <c r="B83" t="s">
        <v>41</v>
      </c>
      <c r="C83">
        <v>508</v>
      </c>
      <c r="D83">
        <v>69</v>
      </c>
      <c r="E83">
        <v>23492</v>
      </c>
      <c r="F83">
        <v>3.16</v>
      </c>
      <c r="G83">
        <v>42824</v>
      </c>
      <c r="H83" s="39">
        <f>Engagment_Summary_1[[#This Row],[New_Followers]]-Engagment_Summary_1[[#This Row],[Unfollows]]</f>
        <v>439</v>
      </c>
    </row>
    <row r="84" spans="1:8">
      <c r="A84" s="1">
        <v>45586</v>
      </c>
      <c r="B84" t="s">
        <v>14</v>
      </c>
      <c r="C84">
        <v>697</v>
      </c>
      <c r="D84">
        <v>61</v>
      </c>
      <c r="E84">
        <v>258287</v>
      </c>
      <c r="F84">
        <v>8.25</v>
      </c>
      <c r="G84">
        <v>21208</v>
      </c>
      <c r="H84" s="39">
        <f>Engagment_Summary_1[[#This Row],[New_Followers]]-Engagment_Summary_1[[#This Row],[Unfollows]]</f>
        <v>636</v>
      </c>
    </row>
    <row r="85" spans="1:8">
      <c r="A85" s="1">
        <v>45586</v>
      </c>
      <c r="B85" t="s">
        <v>27</v>
      </c>
      <c r="C85">
        <v>1707</v>
      </c>
      <c r="D85">
        <v>223</v>
      </c>
      <c r="E85">
        <v>256910</v>
      </c>
      <c r="F85">
        <v>5.41</v>
      </c>
      <c r="G85">
        <v>44321</v>
      </c>
      <c r="H85" s="39">
        <f>Engagment_Summary_1[[#This Row],[New_Followers]]-Engagment_Summary_1[[#This Row],[Unfollows]]</f>
        <v>1484</v>
      </c>
    </row>
    <row r="86" spans="1:8">
      <c r="A86" s="1">
        <v>45593</v>
      </c>
      <c r="B86" t="s">
        <v>31</v>
      </c>
      <c r="C86">
        <v>642</v>
      </c>
      <c r="D86">
        <v>66</v>
      </c>
      <c r="E86">
        <v>346522</v>
      </c>
      <c r="F86">
        <v>5.85</v>
      </c>
      <c r="G86">
        <v>13116</v>
      </c>
      <c r="H86" s="39">
        <f>Engagment_Summary_1[[#This Row],[New_Followers]]-Engagment_Summary_1[[#This Row],[Unfollows]]</f>
        <v>576</v>
      </c>
    </row>
    <row r="87" spans="1:8">
      <c r="A87" s="1">
        <v>45593</v>
      </c>
      <c r="B87" t="s">
        <v>41</v>
      </c>
      <c r="C87">
        <v>859</v>
      </c>
      <c r="D87">
        <v>473</v>
      </c>
      <c r="E87">
        <v>209987</v>
      </c>
      <c r="F87">
        <v>4.46</v>
      </c>
      <c r="G87">
        <v>30214</v>
      </c>
      <c r="H87" s="39">
        <f>Engagment_Summary_1[[#This Row],[New_Followers]]-Engagment_Summary_1[[#This Row],[Unfollows]]</f>
        <v>386</v>
      </c>
    </row>
    <row r="88" spans="1:8">
      <c r="A88" s="1">
        <v>45593</v>
      </c>
      <c r="B88" t="s">
        <v>14</v>
      </c>
      <c r="C88">
        <v>191</v>
      </c>
      <c r="D88">
        <v>154</v>
      </c>
      <c r="E88">
        <v>240550</v>
      </c>
      <c r="F88">
        <v>5.22</v>
      </c>
      <c r="G88">
        <v>15827</v>
      </c>
      <c r="H88" s="39">
        <f>Engagment_Summary_1[[#This Row],[New_Followers]]-Engagment_Summary_1[[#This Row],[Unfollows]]</f>
        <v>37</v>
      </c>
    </row>
    <row r="89" spans="1:8">
      <c r="A89" s="1">
        <v>45593</v>
      </c>
      <c r="B89" t="s">
        <v>27</v>
      </c>
      <c r="C89">
        <v>1814</v>
      </c>
      <c r="D89">
        <v>157</v>
      </c>
      <c r="E89">
        <v>305827</v>
      </c>
      <c r="F89">
        <v>1.99</v>
      </c>
      <c r="G89">
        <v>46643</v>
      </c>
      <c r="H89" s="39">
        <f>Engagment_Summary_1[[#This Row],[New_Followers]]-Engagment_Summary_1[[#This Row],[Unfollows]]</f>
        <v>1657</v>
      </c>
    </row>
    <row r="90" spans="1:8">
      <c r="A90" s="1">
        <v>45600</v>
      </c>
      <c r="B90" t="s">
        <v>31</v>
      </c>
      <c r="C90">
        <v>1466</v>
      </c>
      <c r="D90">
        <v>69</v>
      </c>
      <c r="E90">
        <v>54935</v>
      </c>
      <c r="F90">
        <v>6.85</v>
      </c>
      <c r="G90">
        <v>36484</v>
      </c>
      <c r="H90" s="39">
        <f>Engagment_Summary_1[[#This Row],[New_Followers]]-Engagment_Summary_1[[#This Row],[Unfollows]]</f>
        <v>1397</v>
      </c>
    </row>
    <row r="91" spans="1:8">
      <c r="A91" s="1">
        <v>45600</v>
      </c>
      <c r="B91" t="s">
        <v>41</v>
      </c>
      <c r="C91">
        <v>947</v>
      </c>
      <c r="D91">
        <v>407</v>
      </c>
      <c r="E91">
        <v>319186</v>
      </c>
      <c r="F91">
        <v>3.32</v>
      </c>
      <c r="G91">
        <v>4996</v>
      </c>
      <c r="H91" s="39">
        <f>Engagment_Summary_1[[#This Row],[New_Followers]]-Engagment_Summary_1[[#This Row],[Unfollows]]</f>
        <v>540</v>
      </c>
    </row>
    <row r="92" spans="1:8">
      <c r="A92" s="1">
        <v>45600</v>
      </c>
      <c r="B92" t="s">
        <v>14</v>
      </c>
      <c r="C92">
        <v>1821</v>
      </c>
      <c r="D92">
        <v>218</v>
      </c>
      <c r="E92">
        <v>439080</v>
      </c>
      <c r="F92">
        <v>5.68</v>
      </c>
      <c r="G92">
        <v>36095</v>
      </c>
      <c r="H92" s="39">
        <f>Engagment_Summary_1[[#This Row],[New_Followers]]-Engagment_Summary_1[[#This Row],[Unfollows]]</f>
        <v>1603</v>
      </c>
    </row>
    <row r="93" spans="1:8">
      <c r="A93" s="1">
        <v>45600</v>
      </c>
      <c r="B93" t="s">
        <v>27</v>
      </c>
      <c r="C93">
        <v>1507</v>
      </c>
      <c r="D93">
        <v>463</v>
      </c>
      <c r="E93">
        <v>258944</v>
      </c>
      <c r="F93">
        <v>6.08</v>
      </c>
      <c r="G93">
        <v>16443</v>
      </c>
      <c r="H93" s="39">
        <f>Engagment_Summary_1[[#This Row],[New_Followers]]-Engagment_Summary_1[[#This Row],[Unfollows]]</f>
        <v>1044</v>
      </c>
    </row>
    <row r="94" spans="1:8">
      <c r="A94" s="1">
        <v>45607</v>
      </c>
      <c r="B94" t="s">
        <v>31</v>
      </c>
      <c r="C94">
        <v>1075</v>
      </c>
      <c r="D94">
        <v>173</v>
      </c>
      <c r="E94">
        <v>51395</v>
      </c>
      <c r="F94">
        <v>4.66</v>
      </c>
      <c r="G94">
        <v>47812</v>
      </c>
      <c r="H94" s="39">
        <f>Engagment_Summary_1[[#This Row],[New_Followers]]-Engagment_Summary_1[[#This Row],[Unfollows]]</f>
        <v>902</v>
      </c>
    </row>
    <row r="95" spans="1:8">
      <c r="A95" s="1">
        <v>45607</v>
      </c>
      <c r="B95" t="s">
        <v>41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 s="39">
        <f>Engagment_Summary_1[[#This Row],[New_Followers]]-Engagment_Summary_1[[#This Row],[Unfollows]]</f>
        <v>-106</v>
      </c>
    </row>
    <row r="96" spans="1:8">
      <c r="A96" s="1">
        <v>45607</v>
      </c>
      <c r="B96" t="s">
        <v>14</v>
      </c>
      <c r="C96">
        <v>1487</v>
      </c>
      <c r="D96">
        <v>337</v>
      </c>
      <c r="E96">
        <v>87305</v>
      </c>
      <c r="F96">
        <v>2.46</v>
      </c>
      <c r="G96">
        <v>30428</v>
      </c>
      <c r="H96" s="39">
        <f>Engagment_Summary_1[[#This Row],[New_Followers]]-Engagment_Summary_1[[#This Row],[Unfollows]]</f>
        <v>1150</v>
      </c>
    </row>
    <row r="97" spans="1:8">
      <c r="A97" s="1">
        <v>45607</v>
      </c>
      <c r="B97" t="s">
        <v>27</v>
      </c>
      <c r="C97">
        <v>454</v>
      </c>
      <c r="D97">
        <v>105</v>
      </c>
      <c r="E97">
        <v>121091</v>
      </c>
      <c r="F97">
        <v>7.97</v>
      </c>
      <c r="G97">
        <v>9269</v>
      </c>
      <c r="H97" s="39">
        <f>Engagment_Summary_1[[#This Row],[New_Followers]]-Engagment_Summary_1[[#This Row],[Unfollows]]</f>
        <v>349</v>
      </c>
    </row>
    <row r="98" spans="1:8">
      <c r="A98" s="1">
        <v>45614</v>
      </c>
      <c r="B98" t="s">
        <v>31</v>
      </c>
      <c r="C98">
        <v>187</v>
      </c>
      <c r="D98">
        <v>236</v>
      </c>
      <c r="E98">
        <v>51087</v>
      </c>
      <c r="F98">
        <v>9.41</v>
      </c>
      <c r="G98">
        <v>29533</v>
      </c>
      <c r="H98" s="39">
        <f>Engagment_Summary_1[[#This Row],[New_Followers]]-Engagment_Summary_1[[#This Row],[Unfollows]]</f>
        <v>-49</v>
      </c>
    </row>
    <row r="99" spans="1:8">
      <c r="A99" s="1">
        <v>45614</v>
      </c>
      <c r="B99" t="s">
        <v>41</v>
      </c>
      <c r="C99">
        <v>513</v>
      </c>
      <c r="D99">
        <v>441</v>
      </c>
      <c r="E99">
        <v>338847</v>
      </c>
      <c r="F99">
        <v>2.68</v>
      </c>
      <c r="G99">
        <v>39997</v>
      </c>
      <c r="H99" s="39">
        <f>Engagment_Summary_1[[#This Row],[New_Followers]]-Engagment_Summary_1[[#This Row],[Unfollows]]</f>
        <v>72</v>
      </c>
    </row>
    <row r="100" spans="1:8">
      <c r="A100" s="1">
        <v>45614</v>
      </c>
      <c r="B100" t="s">
        <v>14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 s="39">
        <f>Engagment_Summary_1[[#This Row],[New_Followers]]-Engagment_Summary_1[[#This Row],[Unfollows]]</f>
        <v>445</v>
      </c>
    </row>
    <row r="101" spans="1:8">
      <c r="A101" s="1">
        <v>45614</v>
      </c>
      <c r="B101" t="s">
        <v>27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 s="39">
        <f>Engagment_Summary_1[[#This Row],[New_Followers]]-Engagment_Summary_1[[#This Row],[Unfollows]]</f>
        <v>60</v>
      </c>
    </row>
    <row r="102" spans="1:8">
      <c r="A102" s="1">
        <v>45621</v>
      </c>
      <c r="B102" t="s">
        <v>31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 s="39">
        <f>Engagment_Summary_1[[#This Row],[New_Followers]]-Engagment_Summary_1[[#This Row],[Unfollows]]</f>
        <v>1693</v>
      </c>
    </row>
    <row r="103" spans="1:8">
      <c r="A103" s="1">
        <v>45621</v>
      </c>
      <c r="B103" t="s">
        <v>41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 s="39">
        <f>Engagment_Summary_1[[#This Row],[New_Followers]]-Engagment_Summary_1[[#This Row],[Unfollows]]</f>
        <v>1332</v>
      </c>
    </row>
    <row r="104" spans="1:8">
      <c r="A104" s="1">
        <v>45621</v>
      </c>
      <c r="B104" t="s">
        <v>14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 s="39">
        <f>Engagment_Summary_1[[#This Row],[New_Followers]]-Engagment_Summary_1[[#This Row],[Unfollows]]</f>
        <v>98</v>
      </c>
    </row>
    <row r="105" spans="1:8">
      <c r="A105" s="1">
        <v>45621</v>
      </c>
      <c r="B105" t="s">
        <v>27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 s="39">
        <f>Engagment_Summary_1[[#This Row],[New_Followers]]-Engagment_Summary_1[[#This Row],[Unfollows]]</f>
        <v>885</v>
      </c>
    </row>
    <row r="106" spans="1:8">
      <c r="A106" s="1">
        <v>45628</v>
      </c>
      <c r="B106" t="s">
        <v>31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 s="39">
        <f>Engagment_Summary_1[[#This Row],[New_Followers]]-Engagment_Summary_1[[#This Row],[Unfollows]]</f>
        <v>1625</v>
      </c>
    </row>
    <row r="107" spans="1:8">
      <c r="A107" s="1">
        <v>45628</v>
      </c>
      <c r="B107" t="s">
        <v>41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 s="39">
        <f>Engagment_Summary_1[[#This Row],[New_Followers]]-Engagment_Summary_1[[#This Row],[Unfollows]]</f>
        <v>1706</v>
      </c>
    </row>
    <row r="108" spans="1:8">
      <c r="A108" s="1">
        <v>45628</v>
      </c>
      <c r="B108" t="s">
        <v>14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 s="39">
        <f>Engagment_Summary_1[[#This Row],[New_Followers]]-Engagment_Summary_1[[#This Row],[Unfollows]]</f>
        <v>1173</v>
      </c>
    </row>
    <row r="109" spans="1:8">
      <c r="A109" s="1">
        <v>45628</v>
      </c>
      <c r="B109" t="s">
        <v>27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 s="39">
        <f>Engagment_Summary_1[[#This Row],[New_Followers]]-Engagment_Summary_1[[#This Row],[Unfollows]]</f>
        <v>291</v>
      </c>
    </row>
    <row r="110" spans="1:8">
      <c r="A110" s="1">
        <v>45635</v>
      </c>
      <c r="B110" t="s">
        <v>31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 s="39">
        <f>Engagment_Summary_1[[#This Row],[New_Followers]]-Engagment_Summary_1[[#This Row],[Unfollows]]</f>
        <v>1119</v>
      </c>
    </row>
    <row r="111" spans="1:8">
      <c r="A111" s="1">
        <v>45635</v>
      </c>
      <c r="B111" t="s">
        <v>41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 s="39">
        <f>Engagment_Summary_1[[#This Row],[New_Followers]]-Engagment_Summary_1[[#This Row],[Unfollows]]</f>
        <v>1373</v>
      </c>
    </row>
    <row r="112" spans="1:8">
      <c r="A112" s="1">
        <v>45635</v>
      </c>
      <c r="B112" t="s">
        <v>14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 s="39">
        <f>Engagment_Summary_1[[#This Row],[New_Followers]]-Engagment_Summary_1[[#This Row],[Unfollows]]</f>
        <v>1727</v>
      </c>
    </row>
    <row r="113" spans="1:8">
      <c r="A113" s="1">
        <v>45635</v>
      </c>
      <c r="B113" t="s">
        <v>27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 s="39">
        <f>Engagment_Summary_1[[#This Row],[New_Followers]]-Engagment_Summary_1[[#This Row],[Unfollows]]</f>
        <v>573</v>
      </c>
    </row>
    <row r="114" spans="1:8">
      <c r="A114" s="1">
        <v>45642</v>
      </c>
      <c r="B114" t="s">
        <v>31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 s="39">
        <f>Engagment_Summary_1[[#This Row],[New_Followers]]-Engagment_Summary_1[[#This Row],[Unfollows]]</f>
        <v>1432</v>
      </c>
    </row>
    <row r="115" spans="1:8">
      <c r="A115" s="1">
        <v>45642</v>
      </c>
      <c r="B115" t="s">
        <v>41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 s="39">
        <f>Engagment_Summary_1[[#This Row],[New_Followers]]-Engagment_Summary_1[[#This Row],[Unfollows]]</f>
        <v>1377</v>
      </c>
    </row>
    <row r="116" spans="1:8">
      <c r="A116" s="1">
        <v>45642</v>
      </c>
      <c r="B116" t="s">
        <v>14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 s="39">
        <f>Engagment_Summary_1[[#This Row],[New_Followers]]-Engagment_Summary_1[[#This Row],[Unfollows]]</f>
        <v>1359</v>
      </c>
    </row>
    <row r="117" spans="1:8">
      <c r="A117" s="1">
        <v>45642</v>
      </c>
      <c r="B117" t="s">
        <v>27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 s="39">
        <f>Engagment_Summary_1[[#This Row],[New_Followers]]-Engagment_Summary_1[[#This Row],[Unfollows]]</f>
        <v>876</v>
      </c>
    </row>
    <row r="118" spans="1:8">
      <c r="A118" s="1">
        <v>45649</v>
      </c>
      <c r="B118" t="s">
        <v>31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 s="39">
        <f>Engagment_Summary_1[[#This Row],[New_Followers]]-Engagment_Summary_1[[#This Row],[Unfollows]]</f>
        <v>684</v>
      </c>
    </row>
    <row r="119" spans="1:8">
      <c r="A119" s="1">
        <v>45649</v>
      </c>
      <c r="B119" t="s">
        <v>41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 s="39">
        <f>Engagment_Summary_1[[#This Row],[New_Followers]]-Engagment_Summary_1[[#This Row],[Unfollows]]</f>
        <v>730</v>
      </c>
    </row>
    <row r="120" spans="1:8">
      <c r="A120" s="1">
        <v>45649</v>
      </c>
      <c r="B120" t="s">
        <v>14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 s="39">
        <f>Engagment_Summary_1[[#This Row],[New_Followers]]-Engagment_Summary_1[[#This Row],[Unfollows]]</f>
        <v>911</v>
      </c>
    </row>
    <row r="121" spans="1:8">
      <c r="A121" s="1">
        <v>45649</v>
      </c>
      <c r="B121" t="s">
        <v>27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 s="39">
        <f>Engagment_Summary_1[[#This Row],[New_Followers]]-Engagment_Summary_1[[#This Row],[Unfollows]]</f>
        <v>1589</v>
      </c>
    </row>
    <row r="122" spans="1:8">
      <c r="A122" s="1">
        <v>45656</v>
      </c>
      <c r="B122" t="s">
        <v>31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 s="39">
        <f>Engagment_Summary_1[[#This Row],[New_Followers]]-Engagment_Summary_1[[#This Row],[Unfollows]]</f>
        <v>1765</v>
      </c>
    </row>
    <row r="123" spans="1:8">
      <c r="A123" s="1">
        <v>45656</v>
      </c>
      <c r="B123" t="s">
        <v>41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 s="39">
        <f>Engagment_Summary_1[[#This Row],[New_Followers]]-Engagment_Summary_1[[#This Row],[Unfollows]]</f>
        <v>1776</v>
      </c>
    </row>
    <row r="124" spans="1:8">
      <c r="A124" s="1">
        <v>45656</v>
      </c>
      <c r="B124" t="s">
        <v>14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 s="39">
        <f>Engagment_Summary_1[[#This Row],[New_Followers]]-Engagment_Summary_1[[#This Row],[Unfollows]]</f>
        <v>1529</v>
      </c>
    </row>
    <row r="125" spans="1:8">
      <c r="A125" s="1">
        <v>45656</v>
      </c>
      <c r="B125" t="s">
        <v>27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 s="39">
        <f>Engagment_Summary_1[[#This Row],[New_Followers]]-Engagment_Summary_1[[#This Row],[Unfollows]]</f>
        <v>1460</v>
      </c>
    </row>
    <row r="126" spans="1:8">
      <c r="A126" s="1">
        <v>45663</v>
      </c>
      <c r="B126" t="s">
        <v>31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 s="39">
        <f>Engagment_Summary_1[[#This Row],[New_Followers]]-Engagment_Summary_1[[#This Row],[Unfollows]]</f>
        <v>903</v>
      </c>
    </row>
    <row r="127" spans="1:8">
      <c r="A127" s="1">
        <v>45663</v>
      </c>
      <c r="B127" t="s">
        <v>41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 s="39">
        <f>Engagment_Summary_1[[#This Row],[New_Followers]]-Engagment_Summary_1[[#This Row],[Unfollows]]</f>
        <v>620</v>
      </c>
    </row>
    <row r="128" spans="1:8">
      <c r="A128" s="1">
        <v>45663</v>
      </c>
      <c r="B128" t="s">
        <v>14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 s="39">
        <f>Engagment_Summary_1[[#This Row],[New_Followers]]-Engagment_Summary_1[[#This Row],[Unfollows]]</f>
        <v>1188</v>
      </c>
    </row>
    <row r="129" spans="1:8">
      <c r="A129" s="1">
        <v>45663</v>
      </c>
      <c r="B129" t="s">
        <v>27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 s="39">
        <f>Engagment_Summary_1[[#This Row],[New_Followers]]-Engagment_Summary_1[[#This Row],[Unfollows]]</f>
        <v>846</v>
      </c>
    </row>
    <row r="130" spans="1:8">
      <c r="A130" s="1">
        <v>45670</v>
      </c>
      <c r="B130" t="s">
        <v>31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 s="39">
        <f>Engagment_Summary_1[[#This Row],[New_Followers]]-Engagment_Summary_1[[#This Row],[Unfollows]]</f>
        <v>1722</v>
      </c>
    </row>
    <row r="131" spans="1:8">
      <c r="A131" s="1">
        <v>45670</v>
      </c>
      <c r="B131" t="s">
        <v>41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 s="39">
        <f>Engagment_Summary_1[[#This Row],[New_Followers]]-Engagment_Summary_1[[#This Row],[Unfollows]]</f>
        <v>298</v>
      </c>
    </row>
    <row r="132" spans="1:8">
      <c r="A132" s="1">
        <v>45670</v>
      </c>
      <c r="B132" t="s">
        <v>14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 s="39">
        <f>Engagment_Summary_1[[#This Row],[New_Followers]]-Engagment_Summary_1[[#This Row],[Unfollows]]</f>
        <v>-144</v>
      </c>
    </row>
    <row r="133" spans="1:8">
      <c r="A133" s="1">
        <v>45670</v>
      </c>
      <c r="B133" t="s">
        <v>27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 s="39">
        <f>Engagment_Summary_1[[#This Row],[New_Followers]]-Engagment_Summary_1[[#This Row],[Unfollows]]</f>
        <v>901</v>
      </c>
    </row>
    <row r="134" spans="1:8">
      <c r="A134" s="1">
        <v>45677</v>
      </c>
      <c r="B134" t="s">
        <v>31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 s="39">
        <f>Engagment_Summary_1[[#This Row],[New_Followers]]-Engagment_Summary_1[[#This Row],[Unfollows]]</f>
        <v>1572</v>
      </c>
    </row>
    <row r="135" spans="1:8">
      <c r="A135" s="1">
        <v>45677</v>
      </c>
      <c r="B135" t="s">
        <v>41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 s="39">
        <f>Engagment_Summary_1[[#This Row],[New_Followers]]-Engagment_Summary_1[[#This Row],[Unfollows]]</f>
        <v>427</v>
      </c>
    </row>
    <row r="136" spans="1:8">
      <c r="A136" s="1">
        <v>45677</v>
      </c>
      <c r="B136" t="s">
        <v>14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 s="39">
        <f>Engagment_Summary_1[[#This Row],[New_Followers]]-Engagment_Summary_1[[#This Row],[Unfollows]]</f>
        <v>891</v>
      </c>
    </row>
    <row r="137" spans="1:8">
      <c r="A137" s="1">
        <v>45677</v>
      </c>
      <c r="B137" t="s">
        <v>27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 s="39">
        <f>Engagment_Summary_1[[#This Row],[New_Followers]]-Engagment_Summary_1[[#This Row],[Unfollows]]</f>
        <v>724</v>
      </c>
    </row>
    <row r="138" spans="1:8">
      <c r="A138" s="1">
        <v>45684</v>
      </c>
      <c r="B138" t="s">
        <v>31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 s="39">
        <f>Engagment_Summary_1[[#This Row],[New_Followers]]-Engagment_Summary_1[[#This Row],[Unfollows]]</f>
        <v>-166</v>
      </c>
    </row>
    <row r="139" spans="1:8">
      <c r="A139" s="1">
        <v>45684</v>
      </c>
      <c r="B139" t="s">
        <v>41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 s="39">
        <f>Engagment_Summary_1[[#This Row],[New_Followers]]-Engagment_Summary_1[[#This Row],[Unfollows]]</f>
        <v>898</v>
      </c>
    </row>
    <row r="140" spans="1:8">
      <c r="A140" s="1">
        <v>45684</v>
      </c>
      <c r="B140" t="s">
        <v>14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 s="39">
        <f>Engagment_Summary_1[[#This Row],[New_Followers]]-Engagment_Summary_1[[#This Row],[Unfollows]]</f>
        <v>1426</v>
      </c>
    </row>
    <row r="141" spans="1:8">
      <c r="A141" s="1">
        <v>45684</v>
      </c>
      <c r="B141" t="s">
        <v>27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 s="39">
        <f>Engagment_Summary_1[[#This Row],[New_Followers]]-Engagment_Summary_1[[#This Row],[Unfollows]]</f>
        <v>1225</v>
      </c>
    </row>
    <row r="142" spans="1:8">
      <c r="A142" s="1">
        <v>45691</v>
      </c>
      <c r="B142" t="s">
        <v>31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 s="39">
        <f>Engagment_Summary_1[[#This Row],[New_Followers]]-Engagment_Summary_1[[#This Row],[Unfollows]]</f>
        <v>1080</v>
      </c>
    </row>
    <row r="143" spans="1:8">
      <c r="A143" s="1">
        <v>45691</v>
      </c>
      <c r="B143" t="s">
        <v>41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 s="39">
        <f>Engagment_Summary_1[[#This Row],[New_Followers]]-Engagment_Summary_1[[#This Row],[Unfollows]]</f>
        <v>748</v>
      </c>
    </row>
    <row r="144" spans="1:8">
      <c r="A144" s="1">
        <v>45691</v>
      </c>
      <c r="B144" t="s">
        <v>14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 s="39">
        <f>Engagment_Summary_1[[#This Row],[New_Followers]]-Engagment_Summary_1[[#This Row],[Unfollows]]</f>
        <v>569</v>
      </c>
    </row>
    <row r="145" spans="1:8">
      <c r="A145" s="1">
        <v>45691</v>
      </c>
      <c r="B145" t="s">
        <v>27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 s="39">
        <f>Engagment_Summary_1[[#This Row],[New_Followers]]-Engagment_Summary_1[[#This Row],[Unfollows]]</f>
        <v>-203</v>
      </c>
    </row>
    <row r="146" spans="1:8">
      <c r="A146" s="1">
        <v>45698</v>
      </c>
      <c r="B146" t="s">
        <v>31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 s="39">
        <f>Engagment_Summary_1[[#This Row],[New_Followers]]-Engagment_Summary_1[[#This Row],[Unfollows]]</f>
        <v>1723</v>
      </c>
    </row>
    <row r="147" spans="1:8">
      <c r="A147" s="1">
        <v>45698</v>
      </c>
      <c r="B147" t="s">
        <v>41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 s="39">
        <f>Engagment_Summary_1[[#This Row],[New_Followers]]-Engagment_Summary_1[[#This Row],[Unfollows]]</f>
        <v>912</v>
      </c>
    </row>
    <row r="148" spans="1:8">
      <c r="A148" s="1">
        <v>45698</v>
      </c>
      <c r="B148" t="s">
        <v>14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 s="39">
        <f>Engagment_Summary_1[[#This Row],[New_Followers]]-Engagment_Summary_1[[#This Row],[Unfollows]]</f>
        <v>1202</v>
      </c>
    </row>
    <row r="149" spans="1:8">
      <c r="A149" s="1">
        <v>45698</v>
      </c>
      <c r="B149" t="s">
        <v>27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 s="39">
        <f>Engagment_Summary_1[[#This Row],[New_Followers]]-Engagment_Summary_1[[#This Row],[Unfollows]]</f>
        <v>1444</v>
      </c>
    </row>
    <row r="150" spans="1:8">
      <c r="A150" s="1">
        <v>45705</v>
      </c>
      <c r="B150" t="s">
        <v>31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 s="39">
        <f>Engagment_Summary_1[[#This Row],[New_Followers]]-Engagment_Summary_1[[#This Row],[Unfollows]]</f>
        <v>965</v>
      </c>
    </row>
    <row r="151" spans="1:8">
      <c r="A151" s="1">
        <v>45705</v>
      </c>
      <c r="B151" t="s">
        <v>41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 s="39">
        <f>Engagment_Summary_1[[#This Row],[New_Followers]]-Engagment_Summary_1[[#This Row],[Unfollows]]</f>
        <v>1590</v>
      </c>
    </row>
    <row r="152" spans="1:8">
      <c r="A152" s="1">
        <v>45705</v>
      </c>
      <c r="B152" t="s">
        <v>14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 s="39">
        <f>Engagment_Summary_1[[#This Row],[New_Followers]]-Engagment_Summary_1[[#This Row],[Unfollows]]</f>
        <v>-37</v>
      </c>
    </row>
    <row r="153" spans="1:8">
      <c r="A153" s="1">
        <v>45705</v>
      </c>
      <c r="B153" t="s">
        <v>27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 s="39">
        <f>Engagment_Summary_1[[#This Row],[New_Followers]]-Engagment_Summary_1[[#This Row],[Unfollows]]</f>
        <v>1175</v>
      </c>
    </row>
    <row r="154" spans="1:8">
      <c r="A154" s="1">
        <v>45712</v>
      </c>
      <c r="B154" t="s">
        <v>31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 s="39">
        <f>Engagment_Summary_1[[#This Row],[New_Followers]]-Engagment_Summary_1[[#This Row],[Unfollows]]</f>
        <v>1375</v>
      </c>
    </row>
    <row r="155" spans="1:8">
      <c r="A155" s="1">
        <v>45712</v>
      </c>
      <c r="B155" t="s">
        <v>41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 s="39">
        <f>Engagment_Summary_1[[#This Row],[New_Followers]]-Engagment_Summary_1[[#This Row],[Unfollows]]</f>
        <v>1707</v>
      </c>
    </row>
    <row r="156" spans="1:8">
      <c r="A156" s="1">
        <v>45712</v>
      </c>
      <c r="B156" t="s">
        <v>14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 s="39">
        <f>Engagment_Summary_1[[#This Row],[New_Followers]]-Engagment_Summary_1[[#This Row],[Unfollows]]</f>
        <v>708</v>
      </c>
    </row>
    <row r="157" spans="1:8">
      <c r="A157" s="1">
        <v>45712</v>
      </c>
      <c r="B157" t="s">
        <v>27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 s="39">
        <f>Engagment_Summary_1[[#This Row],[New_Followers]]-Engagment_Summary_1[[#This Row],[Unfollows]]</f>
        <v>1016</v>
      </c>
    </row>
    <row r="158" spans="1:8">
      <c r="A158" s="1">
        <v>45719</v>
      </c>
      <c r="B158" t="s">
        <v>31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 s="39">
        <f>Engagment_Summary_1[[#This Row],[New_Followers]]-Engagment_Summary_1[[#This Row],[Unfollows]]</f>
        <v>1315</v>
      </c>
    </row>
    <row r="159" spans="1:8">
      <c r="A159" s="1">
        <v>45719</v>
      </c>
      <c r="B159" t="s">
        <v>41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 s="39">
        <f>Engagment_Summary_1[[#This Row],[New_Followers]]-Engagment_Summary_1[[#This Row],[Unfollows]]</f>
        <v>-119</v>
      </c>
    </row>
    <row r="160" spans="1:8">
      <c r="A160" s="1">
        <v>45719</v>
      </c>
      <c r="B160" t="s">
        <v>14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 s="39">
        <f>Engagment_Summary_1[[#This Row],[New_Followers]]-Engagment_Summary_1[[#This Row],[Unfollows]]</f>
        <v>899</v>
      </c>
    </row>
    <row r="161" spans="1:8">
      <c r="A161" s="1">
        <v>45719</v>
      </c>
      <c r="B161" t="s">
        <v>27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 s="39">
        <f>Engagment_Summary_1[[#This Row],[New_Followers]]-Engagment_Summary_1[[#This Row],[Unfollows]]</f>
        <v>315</v>
      </c>
    </row>
    <row r="162" spans="1:8">
      <c r="A162" s="1">
        <v>45726</v>
      </c>
      <c r="B162" t="s">
        <v>31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 s="39">
        <f>Engagment_Summary_1[[#This Row],[New_Followers]]-Engagment_Summary_1[[#This Row],[Unfollows]]</f>
        <v>212</v>
      </c>
    </row>
    <row r="163" spans="1:8">
      <c r="A163" s="1">
        <v>45726</v>
      </c>
      <c r="B163" t="s">
        <v>41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 s="39">
        <f>Engagment_Summary_1[[#This Row],[New_Followers]]-Engagment_Summary_1[[#This Row],[Unfollows]]</f>
        <v>908</v>
      </c>
    </row>
    <row r="164" spans="1:8">
      <c r="A164" s="1">
        <v>45726</v>
      </c>
      <c r="B164" t="s">
        <v>14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 s="39">
        <f>Engagment_Summary_1[[#This Row],[New_Followers]]-Engagment_Summary_1[[#This Row],[Unfollows]]</f>
        <v>1350</v>
      </c>
    </row>
    <row r="165" spans="1:8">
      <c r="A165" s="1">
        <v>45726</v>
      </c>
      <c r="B165" t="s">
        <v>27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 s="39">
        <f>Engagment_Summary_1[[#This Row],[New_Followers]]-Engagment_Summary_1[[#This Row],[Unfollows]]</f>
        <v>1242</v>
      </c>
    </row>
    <row r="166" spans="1:8">
      <c r="A166" s="1">
        <v>45733</v>
      </c>
      <c r="B166" t="s">
        <v>31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 s="39">
        <f>Engagment_Summary_1[[#This Row],[New_Followers]]-Engagment_Summary_1[[#This Row],[Unfollows]]</f>
        <v>680</v>
      </c>
    </row>
    <row r="167" spans="1:8">
      <c r="A167" s="1">
        <v>45733</v>
      </c>
      <c r="B167" t="s">
        <v>41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 s="39">
        <f>Engagment_Summary_1[[#This Row],[New_Followers]]-Engagment_Summary_1[[#This Row],[Unfollows]]</f>
        <v>1116</v>
      </c>
    </row>
    <row r="168" spans="1:8">
      <c r="A168" s="1">
        <v>45733</v>
      </c>
      <c r="B168" t="s">
        <v>14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 s="39">
        <f>Engagment_Summary_1[[#This Row],[New_Followers]]-Engagment_Summary_1[[#This Row],[Unfollows]]</f>
        <v>861</v>
      </c>
    </row>
    <row r="169" spans="1:8">
      <c r="A169" s="1">
        <v>45733</v>
      </c>
      <c r="B169" t="s">
        <v>27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 s="39">
        <f>Engagment_Summary_1[[#This Row],[New_Followers]]-Engagment_Summary_1[[#This Row],[Unfollows]]</f>
        <v>1385</v>
      </c>
    </row>
    <row r="170" spans="1:8">
      <c r="A170" s="1">
        <v>45740</v>
      </c>
      <c r="B170" t="s">
        <v>31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 s="39">
        <f>Engagment_Summary_1[[#This Row],[New_Followers]]-Engagment_Summary_1[[#This Row],[Unfollows]]</f>
        <v>461</v>
      </c>
    </row>
    <row r="171" spans="1:8">
      <c r="A171" s="1">
        <v>45740</v>
      </c>
      <c r="B171" t="s">
        <v>41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 s="39">
        <f>Engagment_Summary_1[[#This Row],[New_Followers]]-Engagment_Summary_1[[#This Row],[Unfollows]]</f>
        <v>474</v>
      </c>
    </row>
    <row r="172" spans="1:8">
      <c r="A172" s="1">
        <v>45740</v>
      </c>
      <c r="B172" t="s">
        <v>14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 s="39">
        <f>Engagment_Summary_1[[#This Row],[New_Followers]]-Engagment_Summary_1[[#This Row],[Unfollows]]</f>
        <v>292</v>
      </c>
    </row>
    <row r="173" spans="1:8">
      <c r="A173" s="1">
        <v>45740</v>
      </c>
      <c r="B173" t="s">
        <v>27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 s="39">
        <f>Engagment_Summary_1[[#This Row],[New_Followers]]-Engagment_Summary_1[[#This Row],[Unfollows]]</f>
        <v>389</v>
      </c>
    </row>
    <row r="174" spans="1:8">
      <c r="A174" s="1">
        <v>45747</v>
      </c>
      <c r="B174" t="s">
        <v>31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 s="39">
        <f>Engagment_Summary_1[[#This Row],[New_Followers]]-Engagment_Summary_1[[#This Row],[Unfollows]]</f>
        <v>641</v>
      </c>
    </row>
    <row r="175" spans="1:8">
      <c r="A175" s="1">
        <v>45747</v>
      </c>
      <c r="B175" t="s">
        <v>41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 s="39">
        <f>Engagment_Summary_1[[#This Row],[New_Followers]]-Engagment_Summary_1[[#This Row],[Unfollows]]</f>
        <v>514</v>
      </c>
    </row>
    <row r="176" spans="1:8">
      <c r="A176" s="1">
        <v>45747</v>
      </c>
      <c r="B176" t="s">
        <v>14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 s="39">
        <f>Engagment_Summary_1[[#This Row],[New_Followers]]-Engagment_Summary_1[[#This Row],[Unfollows]]</f>
        <v>1676</v>
      </c>
    </row>
    <row r="177" spans="1:8">
      <c r="A177" s="1">
        <v>45747</v>
      </c>
      <c r="B177" t="s">
        <v>27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 s="39">
        <f>Engagment_Summary_1[[#This Row],[New_Followers]]-Engagment_Summary_1[[#This Row],[Unfollows]]</f>
        <v>1467</v>
      </c>
    </row>
    <row r="178" spans="1:8">
      <c r="A178" s="1">
        <v>45754</v>
      </c>
      <c r="B178" t="s">
        <v>31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 s="39">
        <f>Engagment_Summary_1[[#This Row],[New_Followers]]-Engagment_Summary_1[[#This Row],[Unfollows]]</f>
        <v>167</v>
      </c>
    </row>
    <row r="179" spans="1:8">
      <c r="A179" s="1">
        <v>45754</v>
      </c>
      <c r="B179" t="s">
        <v>41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 s="39">
        <f>Engagment_Summary_1[[#This Row],[New_Followers]]-Engagment_Summary_1[[#This Row],[Unfollows]]</f>
        <v>1029</v>
      </c>
    </row>
    <row r="180" spans="1:8">
      <c r="A180" s="1">
        <v>45754</v>
      </c>
      <c r="B180" t="s">
        <v>14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 s="39">
        <f>Engagment_Summary_1[[#This Row],[New_Followers]]-Engagment_Summary_1[[#This Row],[Unfollows]]</f>
        <v>1007</v>
      </c>
    </row>
    <row r="181" spans="1:8">
      <c r="A181" s="1">
        <v>45754</v>
      </c>
      <c r="B181" t="s">
        <v>27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 s="39">
        <f>Engagment_Summary_1[[#This Row],[New_Followers]]-Engagment_Summary_1[[#This Row],[Unfollows]]</f>
        <v>209</v>
      </c>
    </row>
    <row r="182" spans="1:8">
      <c r="A182" s="1">
        <v>45761</v>
      </c>
      <c r="B182" t="s">
        <v>31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 s="39">
        <f>Engagment_Summary_1[[#This Row],[New_Followers]]-Engagment_Summary_1[[#This Row],[Unfollows]]</f>
        <v>-160</v>
      </c>
    </row>
    <row r="183" spans="1:8">
      <c r="A183" s="1">
        <v>45761</v>
      </c>
      <c r="B183" t="s">
        <v>41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 s="39">
        <f>Engagment_Summary_1[[#This Row],[New_Followers]]-Engagment_Summary_1[[#This Row],[Unfollows]]</f>
        <v>-175</v>
      </c>
    </row>
    <row r="184" spans="1:8">
      <c r="A184" s="1">
        <v>45761</v>
      </c>
      <c r="B184" t="s">
        <v>14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 s="39">
        <f>Engagment_Summary_1[[#This Row],[New_Followers]]-Engagment_Summary_1[[#This Row],[Unfollows]]</f>
        <v>53</v>
      </c>
    </row>
    <row r="185" spans="1:8">
      <c r="A185" s="1">
        <v>45761</v>
      </c>
      <c r="B185" t="s">
        <v>27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 s="39">
        <f>Engagment_Summary_1[[#This Row],[New_Followers]]-Engagment_Summary_1[[#This Row],[Unfollows]]</f>
        <v>145</v>
      </c>
    </row>
    <row r="186" spans="1:8">
      <c r="A186" s="1">
        <v>45768</v>
      </c>
      <c r="B186" t="s">
        <v>31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 s="39">
        <f>Engagment_Summary_1[[#This Row],[New_Followers]]-Engagment_Summary_1[[#This Row],[Unfollows]]</f>
        <v>603</v>
      </c>
    </row>
    <row r="187" spans="1:8">
      <c r="A187" s="1">
        <v>45768</v>
      </c>
      <c r="B187" t="s">
        <v>41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 s="39">
        <f>Engagment_Summary_1[[#This Row],[New_Followers]]-Engagment_Summary_1[[#This Row],[Unfollows]]</f>
        <v>1045</v>
      </c>
    </row>
    <row r="188" spans="1:8">
      <c r="A188" s="1">
        <v>45768</v>
      </c>
      <c r="B188" t="s">
        <v>14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 s="39">
        <f>Engagment_Summary_1[[#This Row],[New_Followers]]-Engagment_Summary_1[[#This Row],[Unfollows]]</f>
        <v>759</v>
      </c>
    </row>
    <row r="189" spans="1:8">
      <c r="A189" s="1">
        <v>45768</v>
      </c>
      <c r="B189" t="s">
        <v>27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 s="39">
        <f>Engagment_Summary_1[[#This Row],[New_Followers]]-Engagment_Summary_1[[#This Row],[Unfollows]]</f>
        <v>1633</v>
      </c>
    </row>
    <row r="190" spans="1:8">
      <c r="A190" s="1">
        <v>45775</v>
      </c>
      <c r="B190" t="s">
        <v>31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 s="39">
        <f>Engagment_Summary_1[[#This Row],[New_Followers]]-Engagment_Summary_1[[#This Row],[Unfollows]]</f>
        <v>1539</v>
      </c>
    </row>
    <row r="191" spans="1:8">
      <c r="A191" s="1">
        <v>45775</v>
      </c>
      <c r="B191" t="s">
        <v>41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 s="39">
        <f>Engagment_Summary_1[[#This Row],[New_Followers]]-Engagment_Summary_1[[#This Row],[Unfollows]]</f>
        <v>453</v>
      </c>
    </row>
    <row r="192" spans="1:8">
      <c r="A192" s="1">
        <v>45775</v>
      </c>
      <c r="B192" t="s">
        <v>14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 s="39">
        <f>Engagment_Summary_1[[#This Row],[New_Followers]]-Engagment_Summary_1[[#This Row],[Unfollows]]</f>
        <v>948</v>
      </c>
    </row>
    <row r="193" spans="1:8">
      <c r="A193" s="1">
        <v>45775</v>
      </c>
      <c r="B193" t="s">
        <v>27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 s="39">
        <f>Engagment_Summary_1[[#This Row],[New_Followers]]-Engagment_Summary_1[[#This Row],[Unfollows]]</f>
        <v>637</v>
      </c>
    </row>
    <row r="194" spans="1:8">
      <c r="A194" s="1">
        <v>45782</v>
      </c>
      <c r="B194" t="s">
        <v>31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 s="39">
        <f>Engagment_Summary_1[[#This Row],[New_Followers]]-Engagment_Summary_1[[#This Row],[Unfollows]]</f>
        <v>1881</v>
      </c>
    </row>
    <row r="195" spans="1:8">
      <c r="A195" s="1">
        <v>45782</v>
      </c>
      <c r="B195" t="s">
        <v>41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 s="39">
        <f>Engagment_Summary_1[[#This Row],[New_Followers]]-Engagment_Summary_1[[#This Row],[Unfollows]]</f>
        <v>339</v>
      </c>
    </row>
    <row r="196" spans="1:8">
      <c r="A196" s="1">
        <v>45782</v>
      </c>
      <c r="B196" t="s">
        <v>14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 s="39">
        <f>Engagment_Summary_1[[#This Row],[New_Followers]]-Engagment_Summary_1[[#This Row],[Unfollows]]</f>
        <v>1510</v>
      </c>
    </row>
    <row r="197" spans="1:8">
      <c r="A197" s="1">
        <v>45782</v>
      </c>
      <c r="B197" t="s">
        <v>27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 s="39">
        <f>Engagment_Summary_1[[#This Row],[New_Followers]]-Engagment_Summary_1[[#This Row],[Unfollows]]</f>
        <v>864</v>
      </c>
    </row>
    <row r="198" spans="1:8">
      <c r="A198" s="1">
        <v>45789</v>
      </c>
      <c r="B198" t="s">
        <v>31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 s="39">
        <f>Engagment_Summary_1[[#This Row],[New_Followers]]-Engagment_Summary_1[[#This Row],[Unfollows]]</f>
        <v>1656</v>
      </c>
    </row>
    <row r="199" spans="1:8">
      <c r="A199" s="1">
        <v>45789</v>
      </c>
      <c r="B199" t="s">
        <v>41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 s="39">
        <f>Engagment_Summary_1[[#This Row],[New_Followers]]-Engagment_Summary_1[[#This Row],[Unfollows]]</f>
        <v>407</v>
      </c>
    </row>
    <row r="200" spans="1:8">
      <c r="A200" s="1">
        <v>45789</v>
      </c>
      <c r="B200" t="s">
        <v>14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 s="39">
        <f>Engagment_Summary_1[[#This Row],[New_Followers]]-Engagment_Summary_1[[#This Row],[Unfollows]]</f>
        <v>269</v>
      </c>
    </row>
    <row r="201" spans="1:8">
      <c r="A201" s="1">
        <v>45789</v>
      </c>
      <c r="B201" t="s">
        <v>27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 s="39">
        <f>Engagment_Summary_1[[#This Row],[New_Followers]]-Engagment_Summary_1[[#This Row],[Unfollows]]</f>
        <v>-337</v>
      </c>
    </row>
  </sheetData>
  <mergeCells count="1">
    <mergeCell ref="J6:S13"/>
  </mergeCells>
  <hyperlinks>
    <hyperlink ref="J6:S13" r:id="rId1" display="video link :" xr:uid="{1137D20A-F104-4646-A997-128CB977B762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60FF-491E-4E84-B4F6-BDCED4905569}">
  <sheetPr>
    <tabColor theme="8"/>
  </sheetPr>
  <dimension ref="A1:Q12"/>
  <sheetViews>
    <sheetView workbookViewId="0">
      <selection activeCell="F11" sqref="F11"/>
    </sheetView>
  </sheetViews>
  <sheetFormatPr defaultRowHeight="14.45"/>
  <cols>
    <col min="1" max="1" width="17.7109375" bestFit="1" customWidth="1"/>
    <col min="2" max="2" width="12.140625" bestFit="1" customWidth="1"/>
    <col min="3" max="3" width="11.28515625" bestFit="1" customWidth="1"/>
    <col min="4" max="4" width="26.28515625" bestFit="1" customWidth="1"/>
    <col min="5" max="5" width="14.42578125" bestFit="1" customWidth="1"/>
    <col min="6" max="6" width="17.7109375" bestFit="1" customWidth="1"/>
  </cols>
  <sheetData>
    <row r="1" spans="1:17">
      <c r="A1" t="s">
        <v>12</v>
      </c>
      <c r="B1" t="s">
        <v>564</v>
      </c>
      <c r="C1" t="s">
        <v>565</v>
      </c>
      <c r="D1" t="s">
        <v>566</v>
      </c>
      <c r="E1" t="s">
        <v>567</v>
      </c>
      <c r="F1" t="s">
        <v>568</v>
      </c>
    </row>
    <row r="2" spans="1:17">
      <c r="A2" t="s">
        <v>25</v>
      </c>
      <c r="B2" s="1">
        <v>45453</v>
      </c>
      <c r="C2" s="1">
        <v>45478</v>
      </c>
      <c r="D2" t="s">
        <v>569</v>
      </c>
      <c r="E2">
        <v>180000</v>
      </c>
      <c r="F2" t="s">
        <v>570</v>
      </c>
    </row>
    <row r="3" spans="1:17">
      <c r="A3" t="s">
        <v>19</v>
      </c>
      <c r="B3" s="1">
        <v>45505</v>
      </c>
      <c r="C3" s="1">
        <v>45535</v>
      </c>
      <c r="D3" t="s">
        <v>571</v>
      </c>
      <c r="E3">
        <v>160000</v>
      </c>
      <c r="F3" t="s">
        <v>572</v>
      </c>
    </row>
    <row r="4" spans="1:17">
      <c r="A4" t="s">
        <v>39</v>
      </c>
      <c r="B4" s="1">
        <v>45570</v>
      </c>
      <c r="C4" s="1">
        <v>45601</v>
      </c>
      <c r="D4" t="s">
        <v>573</v>
      </c>
      <c r="E4">
        <v>220000</v>
      </c>
      <c r="F4" t="s">
        <v>574</v>
      </c>
    </row>
    <row r="5" spans="1:17" ht="15">
      <c r="A5" t="s">
        <v>56</v>
      </c>
      <c r="B5" s="1">
        <v>45667</v>
      </c>
      <c r="C5" s="1">
        <v>45698</v>
      </c>
      <c r="D5" t="s">
        <v>575</v>
      </c>
      <c r="E5">
        <v>200000</v>
      </c>
      <c r="F5" t="s">
        <v>576</v>
      </c>
      <c r="H5" s="43" t="s">
        <v>35</v>
      </c>
      <c r="I5" s="43"/>
      <c r="J5" s="43"/>
      <c r="K5" s="43"/>
      <c r="L5" s="43"/>
      <c r="M5" s="43"/>
      <c r="N5" s="43"/>
      <c r="O5" s="43"/>
      <c r="P5" s="43"/>
      <c r="Q5" s="43"/>
    </row>
    <row r="6" spans="1:17" ht="15">
      <c r="H6" s="43"/>
      <c r="I6" s="43"/>
      <c r="J6" s="43"/>
      <c r="K6" s="43"/>
      <c r="L6" s="43"/>
      <c r="M6" s="43"/>
      <c r="N6" s="43"/>
      <c r="O6" s="43"/>
      <c r="P6" s="43"/>
      <c r="Q6" s="43"/>
    </row>
    <row r="7" spans="1:17" ht="15">
      <c r="H7" s="43"/>
      <c r="I7" s="43"/>
      <c r="J7" s="43"/>
      <c r="K7" s="43"/>
      <c r="L7" s="43"/>
      <c r="M7" s="43"/>
      <c r="N7" s="43"/>
      <c r="O7" s="43"/>
      <c r="P7" s="43"/>
      <c r="Q7" s="43"/>
    </row>
    <row r="8" spans="1:17" ht="15">
      <c r="H8" s="43"/>
      <c r="I8" s="43"/>
      <c r="J8" s="43"/>
      <c r="K8" s="43"/>
      <c r="L8" s="43"/>
      <c r="M8" s="43"/>
      <c r="N8" s="43"/>
      <c r="O8" s="43"/>
      <c r="P8" s="43"/>
      <c r="Q8" s="43"/>
    </row>
    <row r="9" spans="1:17" ht="15">
      <c r="H9" s="43"/>
      <c r="I9" s="43"/>
      <c r="J9" s="43"/>
      <c r="K9" s="43"/>
      <c r="L9" s="43"/>
      <c r="M9" s="43"/>
      <c r="N9" s="43"/>
      <c r="O9" s="43"/>
      <c r="P9" s="43"/>
      <c r="Q9" s="43"/>
    </row>
    <row r="10" spans="1:17" ht="15">
      <c r="H10" s="43"/>
      <c r="I10" s="43"/>
      <c r="J10" s="43"/>
      <c r="K10" s="43"/>
      <c r="L10" s="43"/>
      <c r="M10" s="43"/>
      <c r="N10" s="43"/>
      <c r="O10" s="43"/>
      <c r="P10" s="43"/>
      <c r="Q10" s="43"/>
    </row>
    <row r="11" spans="1:17" ht="15">
      <c r="H11" s="43"/>
      <c r="I11" s="43"/>
      <c r="J11" s="43"/>
      <c r="K11" s="43"/>
      <c r="L11" s="43"/>
      <c r="M11" s="43"/>
      <c r="N11" s="43"/>
      <c r="O11" s="43"/>
      <c r="P11" s="43"/>
      <c r="Q11" s="43"/>
    </row>
    <row r="12" spans="1:17" ht="15">
      <c r="H12" s="43"/>
      <c r="I12" s="43"/>
      <c r="J12" s="43"/>
      <c r="K12" s="43"/>
      <c r="L12" s="43"/>
      <c r="M12" s="43"/>
      <c r="N12" s="43"/>
      <c r="O12" s="43"/>
      <c r="P12" s="43"/>
      <c r="Q12" s="43"/>
    </row>
  </sheetData>
  <mergeCells count="1">
    <mergeCell ref="H5:Q12"/>
  </mergeCells>
  <hyperlinks>
    <hyperlink ref="H5:Q12" r:id="rId1" display="video link :" xr:uid="{1F8E8065-0E6D-4A22-8512-46FF50FF1BF3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0B51-A55C-4DDB-9129-0B1D83CCD869}">
  <sheetPr>
    <tabColor theme="4"/>
  </sheetPr>
  <dimension ref="A1:AK301"/>
  <sheetViews>
    <sheetView tabSelected="1" topLeftCell="A286" zoomScaleNormal="100" workbookViewId="0">
      <selection activeCell="H303" sqref="H303"/>
    </sheetView>
  </sheetViews>
  <sheetFormatPr defaultRowHeight="14.45"/>
  <cols>
    <col min="1" max="1" width="9.140625" bestFit="1" customWidth="1"/>
    <col min="2" max="2" width="10.5703125" bestFit="1" customWidth="1"/>
    <col min="3" max="3" width="19" customWidth="1"/>
    <col min="4" max="4" width="14.5703125" bestFit="1" customWidth="1"/>
    <col min="5" max="5" width="49.7109375" bestFit="1" customWidth="1"/>
    <col min="6" max="6" width="7.28515625" bestFit="1" customWidth="1"/>
    <col min="7" max="7" width="8.7109375" bestFit="1" customWidth="1"/>
    <col min="8" max="8" width="12.28515625" bestFit="1" customWidth="1"/>
    <col min="9" max="9" width="13.28515625" bestFit="1" customWidth="1"/>
    <col min="10" max="10" width="8.28515625" bestFit="1" customWidth="1"/>
    <col min="11" max="11" width="7.85546875" bestFit="1" customWidth="1"/>
    <col min="12" max="13" width="17.140625" bestFit="1" customWidth="1"/>
    <col min="14" max="14" width="29.7109375" bestFit="1" customWidth="1"/>
    <col min="15" max="15" width="17.7109375" bestFit="1" customWidth="1"/>
    <col min="16" max="16" width="18.7109375" bestFit="1" customWidth="1"/>
    <col min="17" max="17" width="19.140625" bestFit="1" customWidth="1"/>
    <col min="18" max="18" width="12.140625" customWidth="1"/>
    <col min="19" max="19" width="13" customWidth="1"/>
    <col min="20" max="20" width="19.7109375" customWidth="1"/>
  </cols>
  <sheetData>
    <row r="1" spans="1:37" ht="14.4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577</v>
      </c>
      <c r="M1" t="s">
        <v>578</v>
      </c>
      <c r="N1" t="s">
        <v>579</v>
      </c>
      <c r="O1" t="s">
        <v>12</v>
      </c>
      <c r="P1" s="2" t="s">
        <v>561</v>
      </c>
      <c r="Q1" t="s">
        <v>580</v>
      </c>
      <c r="R1" t="s">
        <v>564</v>
      </c>
      <c r="S1" t="s">
        <v>565</v>
      </c>
      <c r="T1" t="s">
        <v>581</v>
      </c>
      <c r="V1" s="44" t="s">
        <v>582</v>
      </c>
      <c r="W1" s="44"/>
      <c r="X1" s="44"/>
      <c r="Y1" s="44"/>
      <c r="Z1" s="44"/>
      <c r="AA1" s="44"/>
    </row>
    <row r="2" spans="1:37" ht="15">
      <c r="A2" s="15" t="s">
        <v>13</v>
      </c>
      <c r="B2" s="15" t="s">
        <v>14</v>
      </c>
      <c r="C2" s="16">
        <v>45649</v>
      </c>
      <c r="D2" s="15" t="s">
        <v>16</v>
      </c>
      <c r="E2" s="15" t="s">
        <v>17</v>
      </c>
      <c r="F2" s="15">
        <v>1461</v>
      </c>
      <c r="G2" s="15">
        <v>184</v>
      </c>
      <c r="H2" s="15">
        <v>344</v>
      </c>
      <c r="I2" s="15">
        <v>21915</v>
      </c>
      <c r="J2" s="15">
        <v>21675</v>
      </c>
      <c r="K2" s="15">
        <v>15</v>
      </c>
      <c r="L2" s="15" t="s">
        <v>583</v>
      </c>
      <c r="M2" s="15"/>
      <c r="N2" s="15" t="str">
        <f t="shared" ref="N2:N65" si="0">_xlfn.TEXTJOIN(",",TRUE,L2,M2)</f>
        <v>MyntraSale</v>
      </c>
      <c r="O2" s="15" t="s">
        <v>19</v>
      </c>
      <c r="P2" s="17">
        <f>(Post[[#This Row],[Likes]]+Post[[#This Row],[Shares]]+Post[[#This Row],[Comments]])/Post[[#This Row],[Impressions]]</f>
        <v>9.0759753593429152E-2</v>
      </c>
      <c r="Q2" s="15">
        <f>F2+G2+H2</f>
        <v>1989</v>
      </c>
      <c r="R2" s="16">
        <f>_xlfn.XLOOKUP($O2,'Campaign Data '!$A:$A,'Campaign Data '!$B:$B)</f>
        <v>45505</v>
      </c>
      <c r="S2" s="16">
        <f>_xlfn.XLOOKUP($O2,'Campaign Data '!$A:$A,'Campaign Data '!$C:$C)</f>
        <v>45535</v>
      </c>
      <c r="T2" s="15" t="str">
        <f>+IF(AND($C2&gt;=$R2,$C2&lt;=$S2),"During","Before")</f>
        <v>Before</v>
      </c>
      <c r="V2" s="44"/>
      <c r="W2" s="44"/>
      <c r="X2" s="44"/>
      <c r="Y2" s="44"/>
      <c r="Z2" s="44"/>
      <c r="AA2" s="44"/>
    </row>
    <row r="3" spans="1:37" ht="15">
      <c r="A3" s="15" t="s">
        <v>20</v>
      </c>
      <c r="B3" s="15" t="s">
        <v>14</v>
      </c>
      <c r="C3" s="16">
        <v>45750</v>
      </c>
      <c r="D3" s="15" t="s">
        <v>22</v>
      </c>
      <c r="E3" s="15" t="s">
        <v>23</v>
      </c>
      <c r="F3" s="15">
        <v>4054</v>
      </c>
      <c r="G3" s="15">
        <v>389</v>
      </c>
      <c r="H3" s="15">
        <v>493</v>
      </c>
      <c r="I3" s="15">
        <v>64864</v>
      </c>
      <c r="J3" s="15">
        <v>64383</v>
      </c>
      <c r="K3" s="15">
        <v>117</v>
      </c>
      <c r="L3" s="15" t="s">
        <v>584</v>
      </c>
      <c r="M3" s="15"/>
      <c r="N3" s="15" t="str">
        <f t="shared" si="0"/>
        <v>MyntraFashion</v>
      </c>
      <c r="O3" s="15" t="s">
        <v>25</v>
      </c>
      <c r="P3" s="17">
        <f>(Post[[#This Row],[Likes]]+Post[[#This Row],[Shares]]+Post[[#This Row],[Comments]])/Post[[#This Row],[Impressions]]</f>
        <v>7.6097681302417369E-2</v>
      </c>
      <c r="Q3" s="15">
        <f t="shared" ref="Q3:Q66" si="1">F3+G3+H3</f>
        <v>4936</v>
      </c>
      <c r="R3" s="16">
        <f>_xlfn.XLOOKUP($O3,'Campaign Data '!$A:$A,'Campaign Data '!$B:$B)</f>
        <v>45453</v>
      </c>
      <c r="S3" s="16">
        <f>_xlfn.XLOOKUP($O3,'Campaign Data '!$A:$A,'Campaign Data '!$C:$C)</f>
        <v>45478</v>
      </c>
      <c r="T3" s="15" t="str">
        <f t="shared" ref="T3:T65" si="2">+IF(AND($C3&gt;=$R3,$C3&lt;=$S3),"During","Before")</f>
        <v>Before</v>
      </c>
      <c r="V3" s="44"/>
      <c r="W3" s="44"/>
      <c r="X3" s="44"/>
      <c r="Y3" s="44"/>
      <c r="Z3" s="44"/>
      <c r="AA3" s="44"/>
    </row>
    <row r="4" spans="1:37" ht="15">
      <c r="A4" s="15" t="s">
        <v>26</v>
      </c>
      <c r="B4" s="15" t="s">
        <v>27</v>
      </c>
      <c r="C4" s="16">
        <v>45789</v>
      </c>
      <c r="D4" s="15" t="s">
        <v>16</v>
      </c>
      <c r="E4" s="15" t="s">
        <v>17</v>
      </c>
      <c r="F4" s="15">
        <v>2795</v>
      </c>
      <c r="G4" s="15">
        <v>105</v>
      </c>
      <c r="H4" s="15">
        <v>49</v>
      </c>
      <c r="I4" s="15">
        <v>53105</v>
      </c>
      <c r="J4" s="15">
        <v>52307</v>
      </c>
      <c r="K4" s="15">
        <v>204</v>
      </c>
      <c r="L4" s="15" t="s">
        <v>584</v>
      </c>
      <c r="M4" s="15" t="s">
        <v>583</v>
      </c>
      <c r="N4" s="15" t="str">
        <f t="shared" si="0"/>
        <v>MyntraFashion,MyntraSale</v>
      </c>
      <c r="O4" s="15" t="s">
        <v>19</v>
      </c>
      <c r="P4" s="17">
        <f>(Post[[#This Row],[Likes]]+Post[[#This Row],[Shares]]+Post[[#This Row],[Comments]])/Post[[#This Row],[Impressions]]</f>
        <v>5.5531494209584788E-2</v>
      </c>
      <c r="Q4" s="15">
        <f t="shared" si="1"/>
        <v>2949</v>
      </c>
      <c r="R4" s="16">
        <f>_xlfn.XLOOKUP($O4,'Campaign Data '!$A:$A,'Campaign Data '!$B:$B)</f>
        <v>45505</v>
      </c>
      <c r="S4" s="16">
        <f>_xlfn.XLOOKUP($O4,'Campaign Data '!$A:$A,'Campaign Data '!$C:$C)</f>
        <v>45535</v>
      </c>
      <c r="T4" s="15" t="str">
        <f t="shared" si="2"/>
        <v>Before</v>
      </c>
      <c r="V4" s="44"/>
      <c r="W4" s="44"/>
      <c r="X4" s="44"/>
      <c r="Y4" s="44"/>
      <c r="Z4" s="44"/>
      <c r="AA4" s="44"/>
      <c r="AB4" s="43" t="s">
        <v>35</v>
      </c>
      <c r="AC4" s="43"/>
      <c r="AD4" s="43"/>
      <c r="AE4" s="43"/>
      <c r="AF4" s="43"/>
      <c r="AG4" s="43"/>
      <c r="AH4" s="43"/>
      <c r="AI4" s="43"/>
      <c r="AJ4" s="43"/>
      <c r="AK4" s="43"/>
    </row>
    <row r="5" spans="1:37" ht="15">
      <c r="A5" s="15" t="s">
        <v>30</v>
      </c>
      <c r="B5" s="15" t="s">
        <v>31</v>
      </c>
      <c r="C5" s="16">
        <v>45516</v>
      </c>
      <c r="D5" s="15" t="s">
        <v>33</v>
      </c>
      <c r="E5" s="15" t="s">
        <v>34</v>
      </c>
      <c r="F5" s="15">
        <v>2404</v>
      </c>
      <c r="G5" s="15">
        <v>363</v>
      </c>
      <c r="H5" s="15">
        <v>138</v>
      </c>
      <c r="I5" s="15">
        <v>19232</v>
      </c>
      <c r="J5" s="15">
        <v>18636</v>
      </c>
      <c r="K5" s="15">
        <v>128</v>
      </c>
      <c r="L5" s="15" t="s">
        <v>583</v>
      </c>
      <c r="M5" s="15"/>
      <c r="N5" s="15" t="str">
        <f t="shared" si="0"/>
        <v>MyntraSale</v>
      </c>
      <c r="O5" s="15" t="s">
        <v>19</v>
      </c>
      <c r="P5" s="17">
        <f>(Post[[#This Row],[Likes]]+Post[[#This Row],[Shares]]+Post[[#This Row],[Comments]])/Post[[#This Row],[Impressions]]</f>
        <v>0.15105033277870217</v>
      </c>
      <c r="Q5" s="15">
        <f t="shared" si="1"/>
        <v>2905</v>
      </c>
      <c r="R5" s="16">
        <f>_xlfn.XLOOKUP($O5,'Campaign Data '!$A:$A,'Campaign Data '!$B:$B)</f>
        <v>45505</v>
      </c>
      <c r="S5" s="16">
        <f>_xlfn.XLOOKUP($O5,'Campaign Data '!$A:$A,'Campaign Data '!$C:$C)</f>
        <v>45535</v>
      </c>
      <c r="T5" s="15" t="str">
        <f t="shared" si="2"/>
        <v>During</v>
      </c>
      <c r="V5" s="44"/>
      <c r="W5" s="44"/>
      <c r="X5" s="44"/>
      <c r="Y5" s="44"/>
      <c r="Z5" s="44"/>
      <c r="AA5" s="44"/>
      <c r="AB5" s="43"/>
      <c r="AC5" s="43"/>
      <c r="AD5" s="43"/>
      <c r="AE5" s="43"/>
      <c r="AF5" s="43"/>
      <c r="AG5" s="43"/>
      <c r="AH5" s="43"/>
      <c r="AI5" s="43"/>
      <c r="AJ5" s="43"/>
      <c r="AK5" s="43"/>
    </row>
    <row r="6" spans="1:37" ht="15">
      <c r="A6" s="15" t="s">
        <v>36</v>
      </c>
      <c r="B6" s="15" t="s">
        <v>27</v>
      </c>
      <c r="C6" s="16">
        <v>45469</v>
      </c>
      <c r="D6" s="15" t="s">
        <v>16</v>
      </c>
      <c r="E6" s="15" t="s">
        <v>17</v>
      </c>
      <c r="F6" s="15">
        <v>3557</v>
      </c>
      <c r="G6" s="15">
        <v>687</v>
      </c>
      <c r="H6" s="15">
        <v>424</v>
      </c>
      <c r="I6" s="15">
        <v>71140</v>
      </c>
      <c r="J6" s="15">
        <v>70701</v>
      </c>
      <c r="K6" s="15">
        <v>224</v>
      </c>
      <c r="L6" s="15" t="s">
        <v>585</v>
      </c>
      <c r="M6" s="15" t="s">
        <v>584</v>
      </c>
      <c r="N6" s="15" t="str">
        <f t="shared" si="0"/>
        <v>StyleWithMyntra,MyntraFashion</v>
      </c>
      <c r="O6" s="15" t="s">
        <v>39</v>
      </c>
      <c r="P6" s="17">
        <f>(Post[[#This Row],[Likes]]+Post[[#This Row],[Shares]]+Post[[#This Row],[Comments]])/Post[[#This Row],[Impressions]]</f>
        <v>6.5617093055946027E-2</v>
      </c>
      <c r="Q6" s="15">
        <f t="shared" si="1"/>
        <v>4668</v>
      </c>
      <c r="R6" s="16">
        <f>_xlfn.XLOOKUP($O6,'Campaign Data '!$A:$A,'Campaign Data '!$B:$B)</f>
        <v>45570</v>
      </c>
      <c r="S6" s="16">
        <f>_xlfn.XLOOKUP($O6,'Campaign Data '!$A:$A,'Campaign Data '!$C:$C)</f>
        <v>45601</v>
      </c>
      <c r="T6" s="15" t="str">
        <f t="shared" si="2"/>
        <v>Before</v>
      </c>
      <c r="V6" s="44"/>
      <c r="W6" s="44"/>
      <c r="X6" s="44"/>
      <c r="Y6" s="44"/>
      <c r="Z6" s="44"/>
      <c r="AA6" s="44"/>
      <c r="AB6" s="43"/>
      <c r="AC6" s="43"/>
      <c r="AD6" s="43"/>
      <c r="AE6" s="43"/>
      <c r="AF6" s="43"/>
      <c r="AG6" s="43"/>
      <c r="AH6" s="43"/>
      <c r="AI6" s="43"/>
      <c r="AJ6" s="43"/>
      <c r="AK6" s="43"/>
    </row>
    <row r="7" spans="1:37" ht="15">
      <c r="A7" s="15" t="s">
        <v>40</v>
      </c>
      <c r="B7" s="15" t="s">
        <v>41</v>
      </c>
      <c r="C7" s="16">
        <v>45596</v>
      </c>
      <c r="D7" s="15" t="s">
        <v>43</v>
      </c>
      <c r="E7" s="15" t="s">
        <v>44</v>
      </c>
      <c r="F7" s="15">
        <v>2945</v>
      </c>
      <c r="G7" s="15">
        <v>930</v>
      </c>
      <c r="H7" s="15">
        <v>355</v>
      </c>
      <c r="I7" s="15">
        <v>23560</v>
      </c>
      <c r="J7" s="15">
        <v>23275</v>
      </c>
      <c r="K7" s="15">
        <v>256</v>
      </c>
      <c r="L7" s="15" t="s">
        <v>586</v>
      </c>
      <c r="M7" s="15"/>
      <c r="N7" s="15" t="str">
        <f t="shared" si="0"/>
        <v>MyntraTrend</v>
      </c>
      <c r="O7" s="15" t="s">
        <v>25</v>
      </c>
      <c r="P7" s="17">
        <f>(Post[[#This Row],[Likes]]+Post[[#This Row],[Shares]]+Post[[#This Row],[Comments]])/Post[[#This Row],[Impressions]]</f>
        <v>0.17954159592529711</v>
      </c>
      <c r="Q7" s="15">
        <f t="shared" si="1"/>
        <v>4230</v>
      </c>
      <c r="R7" s="16">
        <f>_xlfn.XLOOKUP($O7,'Campaign Data '!$A:$A,'Campaign Data '!$B:$B)</f>
        <v>45453</v>
      </c>
      <c r="S7" s="16">
        <f>_xlfn.XLOOKUP($O7,'Campaign Data '!$A:$A,'Campaign Data '!$C:$C)</f>
        <v>45478</v>
      </c>
      <c r="T7" s="15" t="str">
        <f t="shared" si="2"/>
        <v>Before</v>
      </c>
      <c r="V7" s="44"/>
      <c r="W7" s="44"/>
      <c r="X7" s="44"/>
      <c r="Y7" s="44"/>
      <c r="Z7" s="44"/>
      <c r="AA7" s="44"/>
      <c r="AB7" s="43"/>
      <c r="AC7" s="43"/>
      <c r="AD7" s="43"/>
      <c r="AE7" s="43"/>
      <c r="AF7" s="43"/>
      <c r="AG7" s="43"/>
      <c r="AH7" s="43"/>
      <c r="AI7" s="43"/>
      <c r="AJ7" s="43"/>
      <c r="AK7" s="43"/>
    </row>
    <row r="8" spans="1:37" ht="15">
      <c r="A8" s="15" t="s">
        <v>46</v>
      </c>
      <c r="B8" s="15" t="s">
        <v>14</v>
      </c>
      <c r="C8" s="16">
        <v>45467</v>
      </c>
      <c r="D8" s="15" t="s">
        <v>43</v>
      </c>
      <c r="E8" s="15" t="s">
        <v>44</v>
      </c>
      <c r="F8" s="15">
        <v>3860</v>
      </c>
      <c r="G8" s="15">
        <v>201</v>
      </c>
      <c r="H8" s="15">
        <v>279</v>
      </c>
      <c r="I8" s="15">
        <v>61760</v>
      </c>
      <c r="J8" s="15">
        <v>61660</v>
      </c>
      <c r="K8" s="15">
        <v>235</v>
      </c>
      <c r="L8" s="15" t="s">
        <v>586</v>
      </c>
      <c r="M8" s="15"/>
      <c r="N8" s="15" t="str">
        <f t="shared" si="0"/>
        <v>MyntraTrend</v>
      </c>
      <c r="O8" s="15" t="s">
        <v>39</v>
      </c>
      <c r="P8" s="17">
        <f>(Post[[#This Row],[Likes]]+Post[[#This Row],[Shares]]+Post[[#This Row],[Comments]])/Post[[#This Row],[Impressions]]</f>
        <v>7.0272020725388601E-2</v>
      </c>
      <c r="Q8" s="15">
        <f t="shared" si="1"/>
        <v>4340</v>
      </c>
      <c r="R8" s="16">
        <f>_xlfn.XLOOKUP($O8,'Campaign Data '!$A:$A,'Campaign Data '!$B:$B)</f>
        <v>45570</v>
      </c>
      <c r="S8" s="16">
        <f>_xlfn.XLOOKUP($O8,'Campaign Data '!$A:$A,'Campaign Data '!$C:$C)</f>
        <v>45601</v>
      </c>
      <c r="T8" s="15" t="str">
        <f t="shared" si="2"/>
        <v>Before</v>
      </c>
      <c r="V8" s="44"/>
      <c r="W8" s="44"/>
      <c r="X8" s="44"/>
      <c r="Y8" s="44"/>
      <c r="Z8" s="44"/>
      <c r="AA8" s="44"/>
      <c r="AB8" s="43"/>
      <c r="AC8" s="43"/>
      <c r="AD8" s="43"/>
      <c r="AE8" s="43"/>
      <c r="AF8" s="43"/>
      <c r="AG8" s="43"/>
      <c r="AH8" s="43"/>
      <c r="AI8" s="43"/>
      <c r="AJ8" s="43"/>
      <c r="AK8" s="43"/>
    </row>
    <row r="9" spans="1:37" ht="15">
      <c r="A9" s="15" t="s">
        <v>48</v>
      </c>
      <c r="B9" s="15" t="s">
        <v>27</v>
      </c>
      <c r="C9" s="16">
        <v>45486</v>
      </c>
      <c r="D9" s="15" t="s">
        <v>50</v>
      </c>
      <c r="E9" s="15" t="s">
        <v>51</v>
      </c>
      <c r="F9" s="15">
        <v>3929</v>
      </c>
      <c r="G9" s="15">
        <v>262</v>
      </c>
      <c r="H9" s="15">
        <v>278</v>
      </c>
      <c r="I9" s="15">
        <v>43219</v>
      </c>
      <c r="J9" s="15">
        <v>42841</v>
      </c>
      <c r="K9" s="15">
        <v>39</v>
      </c>
      <c r="L9" s="15" t="s">
        <v>584</v>
      </c>
      <c r="M9" s="15" t="s">
        <v>583</v>
      </c>
      <c r="N9" s="15" t="str">
        <f t="shared" si="0"/>
        <v>MyntraFashion,MyntraSale</v>
      </c>
      <c r="O9" s="15" t="s">
        <v>39</v>
      </c>
      <c r="P9" s="17">
        <f>(Post[[#This Row],[Likes]]+Post[[#This Row],[Shares]]+Post[[#This Row],[Comments]])/Post[[#This Row],[Impressions]]</f>
        <v>0.10340359564080613</v>
      </c>
      <c r="Q9" s="15">
        <f t="shared" si="1"/>
        <v>4469</v>
      </c>
      <c r="R9" s="16">
        <f>_xlfn.XLOOKUP($O9,'Campaign Data '!$A:$A,'Campaign Data '!$B:$B)</f>
        <v>45570</v>
      </c>
      <c r="S9" s="16">
        <f>_xlfn.XLOOKUP($O9,'Campaign Data '!$A:$A,'Campaign Data '!$C:$C)</f>
        <v>45601</v>
      </c>
      <c r="T9" s="15" t="str">
        <f t="shared" si="2"/>
        <v>Before</v>
      </c>
      <c r="V9" s="44"/>
      <c r="W9" s="44"/>
      <c r="X9" s="44"/>
      <c r="Y9" s="44"/>
      <c r="Z9" s="44"/>
      <c r="AA9" s="44"/>
      <c r="AB9" s="43"/>
      <c r="AC9" s="43"/>
      <c r="AD9" s="43"/>
      <c r="AE9" s="43"/>
      <c r="AF9" s="43"/>
      <c r="AG9" s="43"/>
      <c r="AH9" s="43"/>
      <c r="AI9" s="43"/>
      <c r="AJ9" s="43"/>
      <c r="AK9" s="43"/>
    </row>
    <row r="10" spans="1:37" ht="15">
      <c r="A10" s="15" t="s">
        <v>52</v>
      </c>
      <c r="B10" s="15" t="s">
        <v>41</v>
      </c>
      <c r="C10" s="16">
        <v>45534</v>
      </c>
      <c r="D10" s="15" t="s">
        <v>22</v>
      </c>
      <c r="E10" s="15" t="s">
        <v>23</v>
      </c>
      <c r="F10" s="15">
        <v>3784</v>
      </c>
      <c r="G10" s="15">
        <v>808</v>
      </c>
      <c r="H10" s="15">
        <v>404</v>
      </c>
      <c r="I10" s="15">
        <v>56760</v>
      </c>
      <c r="J10" s="15">
        <v>56343</v>
      </c>
      <c r="K10" s="15">
        <v>131</v>
      </c>
      <c r="L10" s="15" t="s">
        <v>584</v>
      </c>
      <c r="M10" s="15" t="s">
        <v>583</v>
      </c>
      <c r="N10" s="15" t="str">
        <f t="shared" si="0"/>
        <v>MyntraFashion,MyntraSale</v>
      </c>
      <c r="O10" s="15" t="s">
        <v>39</v>
      </c>
      <c r="P10" s="17">
        <f>(Post[[#This Row],[Likes]]+Post[[#This Row],[Shares]]+Post[[#This Row],[Comments]])/Post[[#This Row],[Impressions]]</f>
        <v>8.8019732205778717E-2</v>
      </c>
      <c r="Q10" s="15">
        <f t="shared" si="1"/>
        <v>4996</v>
      </c>
      <c r="R10" s="16">
        <f>_xlfn.XLOOKUP($O10,'Campaign Data '!$A:$A,'Campaign Data '!$B:$B)</f>
        <v>45570</v>
      </c>
      <c r="S10" s="16">
        <f>_xlfn.XLOOKUP($O10,'Campaign Data '!$A:$A,'Campaign Data '!$C:$C)</f>
        <v>45601</v>
      </c>
      <c r="T10" s="15" t="str">
        <f t="shared" si="2"/>
        <v>Before</v>
      </c>
      <c r="V10" s="44"/>
      <c r="W10" s="44"/>
      <c r="X10" s="44"/>
      <c r="Y10" s="44"/>
      <c r="Z10" s="44"/>
      <c r="AA10" s="44"/>
      <c r="AB10" s="43"/>
      <c r="AC10" s="43"/>
      <c r="AD10" s="43"/>
      <c r="AE10" s="43"/>
      <c r="AF10" s="43"/>
      <c r="AG10" s="43"/>
      <c r="AH10" s="43"/>
      <c r="AI10" s="43"/>
      <c r="AJ10" s="43"/>
      <c r="AK10" s="43"/>
    </row>
    <row r="11" spans="1:37" ht="15">
      <c r="A11" s="15" t="s">
        <v>54</v>
      </c>
      <c r="B11" s="15" t="s">
        <v>41</v>
      </c>
      <c r="C11" s="16">
        <v>45727</v>
      </c>
      <c r="D11" s="15" t="s">
        <v>50</v>
      </c>
      <c r="E11" s="15" t="s">
        <v>51</v>
      </c>
      <c r="F11" s="15">
        <v>4241</v>
      </c>
      <c r="G11" s="15">
        <v>902</v>
      </c>
      <c r="H11" s="15">
        <v>47</v>
      </c>
      <c r="I11" s="15">
        <v>72097</v>
      </c>
      <c r="J11" s="15">
        <v>71598</v>
      </c>
      <c r="K11" s="15">
        <v>167</v>
      </c>
      <c r="L11" s="15" t="s">
        <v>586</v>
      </c>
      <c r="M11" s="15"/>
      <c r="N11" s="15" t="str">
        <f t="shared" si="0"/>
        <v>MyntraTrend</v>
      </c>
      <c r="O11" s="15" t="s">
        <v>56</v>
      </c>
      <c r="P11" s="17">
        <f>(Post[[#This Row],[Likes]]+Post[[#This Row],[Shares]]+Post[[#This Row],[Comments]])/Post[[#This Row],[Impressions]]</f>
        <v>7.198635172059864E-2</v>
      </c>
      <c r="Q11" s="15">
        <f t="shared" si="1"/>
        <v>5190</v>
      </c>
      <c r="R11" s="16">
        <f>_xlfn.XLOOKUP($O11,'Campaign Data '!$A:$A,'Campaign Data '!$B:$B)</f>
        <v>45667</v>
      </c>
      <c r="S11" s="16">
        <f>_xlfn.XLOOKUP($O11,'Campaign Data '!$A:$A,'Campaign Data '!$C:$C)</f>
        <v>45698</v>
      </c>
      <c r="T11" s="15" t="str">
        <f t="shared" si="2"/>
        <v>Before</v>
      </c>
      <c r="V11" s="44"/>
      <c r="W11" s="44"/>
      <c r="X11" s="44"/>
      <c r="Y11" s="44"/>
      <c r="Z11" s="44"/>
      <c r="AA11" s="44"/>
      <c r="AB11" s="43"/>
      <c r="AC11" s="43"/>
      <c r="AD11" s="43"/>
      <c r="AE11" s="43"/>
      <c r="AF11" s="43"/>
      <c r="AG11" s="43"/>
      <c r="AH11" s="43"/>
      <c r="AI11" s="43"/>
      <c r="AJ11" s="43"/>
      <c r="AK11" s="43"/>
    </row>
    <row r="12" spans="1:37" ht="15">
      <c r="A12" s="15" t="s">
        <v>57</v>
      </c>
      <c r="B12" s="15" t="s">
        <v>31</v>
      </c>
      <c r="C12" s="16">
        <v>45690</v>
      </c>
      <c r="D12" s="15" t="s">
        <v>33</v>
      </c>
      <c r="E12" s="15" t="s">
        <v>34</v>
      </c>
      <c r="F12" s="15">
        <v>1792</v>
      </c>
      <c r="G12" s="15">
        <v>614</v>
      </c>
      <c r="H12" s="15">
        <v>497</v>
      </c>
      <c r="I12" s="15">
        <v>25088</v>
      </c>
      <c r="J12" s="15">
        <v>24675</v>
      </c>
      <c r="K12" s="15">
        <v>65</v>
      </c>
      <c r="L12" s="15" t="s">
        <v>585</v>
      </c>
      <c r="M12" s="15"/>
      <c r="N12" s="15" t="str">
        <f t="shared" si="0"/>
        <v>StyleWithMyntra</v>
      </c>
      <c r="O12" s="15" t="s">
        <v>19</v>
      </c>
      <c r="P12" s="17">
        <f>(Post[[#This Row],[Likes]]+Post[[#This Row],[Shares]]+Post[[#This Row],[Comments]])/Post[[#This Row],[Impressions]]</f>
        <v>0.11571269132653061</v>
      </c>
      <c r="Q12" s="15">
        <f t="shared" si="1"/>
        <v>2903</v>
      </c>
      <c r="R12" s="16">
        <f>_xlfn.XLOOKUP($O12,'Campaign Data '!$A:$A,'Campaign Data '!$B:$B)</f>
        <v>45505</v>
      </c>
      <c r="S12" s="16">
        <f>_xlfn.XLOOKUP($O12,'Campaign Data '!$A:$A,'Campaign Data '!$C:$C)</f>
        <v>45535</v>
      </c>
      <c r="T12" s="15" t="str">
        <f t="shared" si="2"/>
        <v>Before</v>
      </c>
      <c r="V12" s="44"/>
      <c r="W12" s="44"/>
      <c r="X12" s="44"/>
      <c r="Y12" s="44"/>
      <c r="Z12" s="44"/>
      <c r="AA12" s="44"/>
    </row>
    <row r="13" spans="1:37" ht="15">
      <c r="A13" s="15" t="s">
        <v>60</v>
      </c>
      <c r="B13" s="15" t="s">
        <v>41</v>
      </c>
      <c r="C13" s="16">
        <v>45494</v>
      </c>
      <c r="D13" s="15" t="s">
        <v>16</v>
      </c>
      <c r="E13" s="15" t="s">
        <v>17</v>
      </c>
      <c r="F13" s="15">
        <v>1946</v>
      </c>
      <c r="G13" s="15">
        <v>686</v>
      </c>
      <c r="H13" s="15">
        <v>377</v>
      </c>
      <c r="I13" s="15">
        <v>23352</v>
      </c>
      <c r="J13" s="15">
        <v>22982</v>
      </c>
      <c r="K13" s="15">
        <v>213</v>
      </c>
      <c r="L13" s="15" t="s">
        <v>585</v>
      </c>
      <c r="M13" s="15" t="s">
        <v>583</v>
      </c>
      <c r="N13" s="15" t="str">
        <f t="shared" si="0"/>
        <v>StyleWithMyntra,MyntraSale</v>
      </c>
      <c r="O13" s="15" t="s">
        <v>39</v>
      </c>
      <c r="P13" s="17">
        <f>(Post[[#This Row],[Likes]]+Post[[#This Row],[Shares]]+Post[[#This Row],[Comments]])/Post[[#This Row],[Impressions]]</f>
        <v>0.12885405960945528</v>
      </c>
      <c r="Q13" s="15">
        <f t="shared" si="1"/>
        <v>3009</v>
      </c>
      <c r="R13" s="16">
        <f>_xlfn.XLOOKUP($O13,'Campaign Data '!$A:$A,'Campaign Data '!$B:$B)</f>
        <v>45570</v>
      </c>
      <c r="S13" s="16">
        <f>_xlfn.XLOOKUP($O13,'Campaign Data '!$A:$A,'Campaign Data '!$C:$C)</f>
        <v>45601</v>
      </c>
      <c r="T13" s="15" t="str">
        <f t="shared" si="2"/>
        <v>Before</v>
      </c>
    </row>
    <row r="14" spans="1:37" ht="15">
      <c r="A14" s="15" t="s">
        <v>63</v>
      </c>
      <c r="B14" s="15" t="s">
        <v>27</v>
      </c>
      <c r="C14" s="16">
        <v>45614</v>
      </c>
      <c r="D14" s="15" t="s">
        <v>43</v>
      </c>
      <c r="E14" s="15" t="s">
        <v>44</v>
      </c>
      <c r="F14" s="15">
        <v>1171</v>
      </c>
      <c r="G14" s="15">
        <v>286</v>
      </c>
      <c r="H14" s="15">
        <v>231</v>
      </c>
      <c r="I14" s="15">
        <v>22249</v>
      </c>
      <c r="J14" s="15">
        <v>21282</v>
      </c>
      <c r="K14" s="15">
        <v>114</v>
      </c>
      <c r="L14" s="15" t="s">
        <v>584</v>
      </c>
      <c r="M14" s="15"/>
      <c r="N14" s="15" t="str">
        <f t="shared" si="0"/>
        <v>MyntraFashion</v>
      </c>
      <c r="O14" s="15" t="s">
        <v>56</v>
      </c>
      <c r="P14" s="17">
        <f>(Post[[#This Row],[Likes]]+Post[[#This Row],[Shares]]+Post[[#This Row],[Comments]])/Post[[#This Row],[Impressions]]</f>
        <v>7.5868578363072495E-2</v>
      </c>
      <c r="Q14" s="15">
        <f t="shared" si="1"/>
        <v>1688</v>
      </c>
      <c r="R14" s="16">
        <f>_xlfn.XLOOKUP($O14,'Campaign Data '!$A:$A,'Campaign Data '!$B:$B)</f>
        <v>45667</v>
      </c>
      <c r="S14" s="16">
        <f>_xlfn.XLOOKUP($O14,'Campaign Data '!$A:$A,'Campaign Data '!$C:$C)</f>
        <v>45698</v>
      </c>
      <c r="T14" s="15" t="str">
        <f t="shared" si="2"/>
        <v>Before</v>
      </c>
      <c r="V14" s="45" t="s">
        <v>587</v>
      </c>
      <c r="W14" s="46"/>
      <c r="X14" s="46"/>
      <c r="Y14" s="46"/>
      <c r="Z14" s="46"/>
      <c r="AA14" s="46"/>
    </row>
    <row r="15" spans="1:37" ht="15">
      <c r="A15" s="15" t="s">
        <v>65</v>
      </c>
      <c r="B15" s="15" t="s">
        <v>41</v>
      </c>
      <c r="C15" s="16">
        <v>45704</v>
      </c>
      <c r="D15" s="15" t="s">
        <v>33</v>
      </c>
      <c r="E15" s="15" t="s">
        <v>34</v>
      </c>
      <c r="F15" s="15">
        <v>4242</v>
      </c>
      <c r="G15" s="15">
        <v>555</v>
      </c>
      <c r="H15" s="15">
        <v>131</v>
      </c>
      <c r="I15" s="15">
        <v>33936</v>
      </c>
      <c r="J15" s="15">
        <v>33802</v>
      </c>
      <c r="K15" s="15">
        <v>265</v>
      </c>
      <c r="L15" s="15" t="s">
        <v>583</v>
      </c>
      <c r="M15" s="15" t="s">
        <v>584</v>
      </c>
      <c r="N15" s="15" t="str">
        <f t="shared" si="0"/>
        <v>MyntraSale,MyntraFashion</v>
      </c>
      <c r="O15" s="15" t="s">
        <v>39</v>
      </c>
      <c r="P15" s="17">
        <f>(Post[[#This Row],[Likes]]+Post[[#This Row],[Shares]]+Post[[#This Row],[Comments]])/Post[[#This Row],[Impressions]]</f>
        <v>0.14521452145214522</v>
      </c>
      <c r="Q15" s="15">
        <f t="shared" si="1"/>
        <v>4928</v>
      </c>
      <c r="R15" s="16">
        <f>_xlfn.XLOOKUP($O15,'Campaign Data '!$A:$A,'Campaign Data '!$B:$B)</f>
        <v>45570</v>
      </c>
      <c r="S15" s="16">
        <f>_xlfn.XLOOKUP($O15,'Campaign Data '!$A:$A,'Campaign Data '!$C:$C)</f>
        <v>45601</v>
      </c>
      <c r="T15" s="15" t="str">
        <f t="shared" si="2"/>
        <v>Before</v>
      </c>
      <c r="V15" s="46"/>
      <c r="W15" s="46"/>
      <c r="X15" s="46"/>
      <c r="Y15" s="46"/>
      <c r="Z15" s="46"/>
      <c r="AA15" s="46"/>
    </row>
    <row r="16" spans="1:37" ht="15">
      <c r="A16" s="15" t="s">
        <v>68</v>
      </c>
      <c r="B16" s="15" t="s">
        <v>41</v>
      </c>
      <c r="C16" s="16">
        <v>45589</v>
      </c>
      <c r="D16" s="15" t="s">
        <v>70</v>
      </c>
      <c r="E16" s="15" t="s">
        <v>71</v>
      </c>
      <c r="F16" s="15">
        <v>3888</v>
      </c>
      <c r="G16" s="15">
        <v>604</v>
      </c>
      <c r="H16" s="15">
        <v>128</v>
      </c>
      <c r="I16" s="15">
        <v>77760</v>
      </c>
      <c r="J16" s="15">
        <v>77167</v>
      </c>
      <c r="K16" s="15">
        <v>20</v>
      </c>
      <c r="L16" s="15" t="s">
        <v>584</v>
      </c>
      <c r="M16" s="15" t="s">
        <v>588</v>
      </c>
      <c r="N16" s="15" t="str">
        <f t="shared" si="0"/>
        <v>MyntraFashion,FashionDeals</v>
      </c>
      <c r="O16" s="15" t="s">
        <v>19</v>
      </c>
      <c r="P16" s="17">
        <f>(Post[[#This Row],[Likes]]+Post[[#This Row],[Shares]]+Post[[#This Row],[Comments]])/Post[[#This Row],[Impressions]]</f>
        <v>5.941358024691358E-2</v>
      </c>
      <c r="Q16" s="15">
        <f t="shared" si="1"/>
        <v>4620</v>
      </c>
      <c r="R16" s="16">
        <f>_xlfn.XLOOKUP($O16,'Campaign Data '!$A:$A,'Campaign Data '!$B:$B)</f>
        <v>45505</v>
      </c>
      <c r="S16" s="16">
        <f>_xlfn.XLOOKUP($O16,'Campaign Data '!$A:$A,'Campaign Data '!$C:$C)</f>
        <v>45535</v>
      </c>
      <c r="T16" s="15" t="str">
        <f t="shared" si="2"/>
        <v>Before</v>
      </c>
      <c r="V16" s="46"/>
      <c r="W16" s="46"/>
      <c r="X16" s="46"/>
      <c r="Y16" s="46"/>
      <c r="Z16" s="46"/>
      <c r="AA16" s="46"/>
    </row>
    <row r="17" spans="1:27" ht="15">
      <c r="A17" s="15" t="s">
        <v>73</v>
      </c>
      <c r="B17" s="15" t="s">
        <v>41</v>
      </c>
      <c r="C17" s="16">
        <v>45530</v>
      </c>
      <c r="D17" s="15" t="s">
        <v>22</v>
      </c>
      <c r="E17" s="15" t="s">
        <v>23</v>
      </c>
      <c r="F17" s="15">
        <v>3452</v>
      </c>
      <c r="G17" s="15">
        <v>377</v>
      </c>
      <c r="H17" s="15">
        <v>360</v>
      </c>
      <c r="I17" s="15">
        <v>55232</v>
      </c>
      <c r="J17" s="15">
        <v>55075</v>
      </c>
      <c r="K17" s="15">
        <v>87</v>
      </c>
      <c r="L17" s="15" t="s">
        <v>583</v>
      </c>
      <c r="M17" s="15" t="s">
        <v>588</v>
      </c>
      <c r="N17" s="15" t="str">
        <f t="shared" si="0"/>
        <v>MyntraSale,FashionDeals</v>
      </c>
      <c r="O17" s="15" t="s">
        <v>39</v>
      </c>
      <c r="P17" s="17">
        <f>(Post[[#This Row],[Likes]]+Post[[#This Row],[Shares]]+Post[[#This Row],[Comments]])/Post[[#This Row],[Impressions]]</f>
        <v>7.5843713789107758E-2</v>
      </c>
      <c r="Q17" s="15">
        <f>F17+G17+H17</f>
        <v>4189</v>
      </c>
      <c r="R17" s="16">
        <f>_xlfn.XLOOKUP($O17,'Campaign Data '!$A:$A,'Campaign Data '!$B:$B)</f>
        <v>45570</v>
      </c>
      <c r="S17" s="16">
        <f>_xlfn.XLOOKUP($O17,'Campaign Data '!$A:$A,'Campaign Data '!$C:$C)</f>
        <v>45601</v>
      </c>
      <c r="T17" s="15" t="str">
        <f t="shared" si="2"/>
        <v>Before</v>
      </c>
      <c r="V17" s="46"/>
      <c r="W17" s="46"/>
      <c r="X17" s="46"/>
      <c r="Y17" s="46"/>
      <c r="Z17" s="46"/>
      <c r="AA17" s="46"/>
    </row>
    <row r="18" spans="1:27" ht="15">
      <c r="A18" s="15" t="s">
        <v>76</v>
      </c>
      <c r="B18" s="15" t="s">
        <v>41</v>
      </c>
      <c r="C18" s="16">
        <v>45782</v>
      </c>
      <c r="D18" s="15" t="s">
        <v>22</v>
      </c>
      <c r="E18" s="15" t="s">
        <v>23</v>
      </c>
      <c r="F18" s="15">
        <v>4441</v>
      </c>
      <c r="G18" s="15">
        <v>511</v>
      </c>
      <c r="H18" s="15">
        <v>70</v>
      </c>
      <c r="I18" s="15">
        <v>53292</v>
      </c>
      <c r="J18" s="15">
        <v>53082</v>
      </c>
      <c r="K18" s="15">
        <v>159</v>
      </c>
      <c r="L18" s="15" t="s">
        <v>588</v>
      </c>
      <c r="M18" s="15"/>
      <c r="N18" s="15" t="str">
        <f t="shared" si="0"/>
        <v>FashionDeals</v>
      </c>
      <c r="O18" s="15" t="s">
        <v>39</v>
      </c>
      <c r="P18" s="17">
        <f>(Post[[#This Row],[Likes]]+Post[[#This Row],[Shares]]+Post[[#This Row],[Comments]])/Post[[#This Row],[Impressions]]</f>
        <v>9.4235532537716729E-2</v>
      </c>
      <c r="Q18" s="15">
        <f t="shared" si="1"/>
        <v>5022</v>
      </c>
      <c r="R18" s="16">
        <f>_xlfn.XLOOKUP($O18,'Campaign Data '!$A:$A,'Campaign Data '!$B:$B)</f>
        <v>45570</v>
      </c>
      <c r="S18" s="16">
        <f>_xlfn.XLOOKUP($O18,'Campaign Data '!$A:$A,'Campaign Data '!$C:$C)</f>
        <v>45601</v>
      </c>
      <c r="T18" s="15" t="str">
        <f t="shared" si="2"/>
        <v>Before</v>
      </c>
      <c r="V18" s="46"/>
      <c r="W18" s="46"/>
      <c r="X18" s="46"/>
      <c r="Y18" s="46"/>
      <c r="Z18" s="46"/>
      <c r="AA18" s="46"/>
    </row>
    <row r="19" spans="1:27" ht="15">
      <c r="A19" s="15" t="s">
        <v>79</v>
      </c>
      <c r="B19" s="15" t="s">
        <v>31</v>
      </c>
      <c r="C19" s="16">
        <v>45523</v>
      </c>
      <c r="D19" s="15" t="s">
        <v>16</v>
      </c>
      <c r="E19" s="15" t="s">
        <v>17</v>
      </c>
      <c r="F19" s="15">
        <v>3000</v>
      </c>
      <c r="G19" s="15">
        <v>382</v>
      </c>
      <c r="H19" s="15">
        <v>325</v>
      </c>
      <c r="I19" s="15">
        <v>36000</v>
      </c>
      <c r="J19" s="15">
        <v>35819</v>
      </c>
      <c r="K19" s="15">
        <v>19</v>
      </c>
      <c r="L19" s="15" t="s">
        <v>585</v>
      </c>
      <c r="M19" s="15"/>
      <c r="N19" s="15" t="str">
        <f t="shared" si="0"/>
        <v>StyleWithMyntra</v>
      </c>
      <c r="O19" s="15" t="s">
        <v>25</v>
      </c>
      <c r="P19" s="17">
        <f>(Post[[#This Row],[Likes]]+Post[[#This Row],[Shares]]+Post[[#This Row],[Comments]])/Post[[#This Row],[Impressions]]</f>
        <v>0.10297222222222223</v>
      </c>
      <c r="Q19" s="15">
        <f t="shared" si="1"/>
        <v>3707</v>
      </c>
      <c r="R19" s="16">
        <f>_xlfn.XLOOKUP($O19,'Campaign Data '!$A:$A,'Campaign Data '!$B:$B)</f>
        <v>45453</v>
      </c>
      <c r="S19" s="16">
        <f>_xlfn.XLOOKUP($O19,'Campaign Data '!$A:$A,'Campaign Data '!$C:$C)</f>
        <v>45478</v>
      </c>
      <c r="T19" s="15" t="str">
        <f t="shared" si="2"/>
        <v>Before</v>
      </c>
      <c r="V19" s="46"/>
      <c r="W19" s="46"/>
      <c r="X19" s="46"/>
      <c r="Y19" s="46"/>
      <c r="Z19" s="46"/>
      <c r="AA19" s="46"/>
    </row>
    <row r="20" spans="1:27" ht="15">
      <c r="A20" s="15" t="s">
        <v>81</v>
      </c>
      <c r="B20" s="15" t="s">
        <v>31</v>
      </c>
      <c r="C20" s="16">
        <v>45466</v>
      </c>
      <c r="D20" s="15" t="s">
        <v>70</v>
      </c>
      <c r="E20" s="15" t="s">
        <v>71</v>
      </c>
      <c r="F20" s="15">
        <v>1071</v>
      </c>
      <c r="G20" s="15">
        <v>519</v>
      </c>
      <c r="H20" s="15">
        <v>22</v>
      </c>
      <c r="I20" s="15">
        <v>16065</v>
      </c>
      <c r="J20" s="15">
        <v>15865</v>
      </c>
      <c r="K20" s="15">
        <v>103</v>
      </c>
      <c r="L20" s="15" t="s">
        <v>583</v>
      </c>
      <c r="M20" s="15" t="s">
        <v>585</v>
      </c>
      <c r="N20" s="15" t="str">
        <f t="shared" si="0"/>
        <v>MyntraSale,StyleWithMyntra</v>
      </c>
      <c r="O20" s="15" t="s">
        <v>39</v>
      </c>
      <c r="P20" s="17">
        <f>(Post[[#This Row],[Likes]]+Post[[#This Row],[Shares]]+Post[[#This Row],[Comments]])/Post[[#This Row],[Impressions]]</f>
        <v>0.10034235916588857</v>
      </c>
      <c r="Q20" s="15">
        <f t="shared" si="1"/>
        <v>1612</v>
      </c>
      <c r="R20" s="16">
        <f>_xlfn.XLOOKUP($O20,'Campaign Data '!$A:$A,'Campaign Data '!$B:$B)</f>
        <v>45570</v>
      </c>
      <c r="S20" s="16">
        <f>_xlfn.XLOOKUP($O20,'Campaign Data '!$A:$A,'Campaign Data '!$C:$C)</f>
        <v>45601</v>
      </c>
      <c r="T20" s="15" t="str">
        <f t="shared" si="2"/>
        <v>Before</v>
      </c>
      <c r="V20" s="46"/>
      <c r="W20" s="46"/>
      <c r="X20" s="46"/>
      <c r="Y20" s="46"/>
      <c r="Z20" s="46"/>
      <c r="AA20" s="46"/>
    </row>
    <row r="21" spans="1:27" ht="15">
      <c r="A21" s="15" t="s">
        <v>84</v>
      </c>
      <c r="B21" s="15" t="s">
        <v>31</v>
      </c>
      <c r="C21" s="16">
        <v>45544</v>
      </c>
      <c r="D21" s="15" t="s">
        <v>43</v>
      </c>
      <c r="E21" s="15" t="s">
        <v>44</v>
      </c>
      <c r="F21" s="15">
        <v>4054</v>
      </c>
      <c r="G21" s="15">
        <v>488</v>
      </c>
      <c r="H21" s="15">
        <v>373</v>
      </c>
      <c r="I21" s="15">
        <v>77026</v>
      </c>
      <c r="J21" s="15">
        <v>76881</v>
      </c>
      <c r="K21" s="15">
        <v>25</v>
      </c>
      <c r="L21" s="15" t="s">
        <v>584</v>
      </c>
      <c r="M21" s="15" t="s">
        <v>583</v>
      </c>
      <c r="N21" s="15" t="str">
        <f t="shared" si="0"/>
        <v>MyntraFashion,MyntraSale</v>
      </c>
      <c r="O21" s="15" t="s">
        <v>39</v>
      </c>
      <c r="P21" s="17">
        <f>(Post[[#This Row],[Likes]]+Post[[#This Row],[Shares]]+Post[[#This Row],[Comments]])/Post[[#This Row],[Impressions]]</f>
        <v>6.3809622724794221E-2</v>
      </c>
      <c r="Q21" s="15">
        <f t="shared" si="1"/>
        <v>4915</v>
      </c>
      <c r="R21" s="16">
        <f>_xlfn.XLOOKUP($O21,'Campaign Data '!$A:$A,'Campaign Data '!$B:$B)</f>
        <v>45570</v>
      </c>
      <c r="S21" s="16">
        <f>_xlfn.XLOOKUP($O21,'Campaign Data '!$A:$A,'Campaign Data '!$C:$C)</f>
        <v>45601</v>
      </c>
      <c r="T21" s="15" t="str">
        <f t="shared" si="2"/>
        <v>Before</v>
      </c>
      <c r="V21" s="46"/>
      <c r="W21" s="46"/>
      <c r="X21" s="46"/>
      <c r="Y21" s="46"/>
      <c r="Z21" s="46"/>
      <c r="AA21" s="46"/>
    </row>
    <row r="22" spans="1:27" ht="15">
      <c r="A22" s="15" t="s">
        <v>86</v>
      </c>
      <c r="B22" s="15" t="s">
        <v>31</v>
      </c>
      <c r="C22" s="16">
        <v>45661</v>
      </c>
      <c r="D22" s="15" t="s">
        <v>16</v>
      </c>
      <c r="E22" s="15" t="s">
        <v>17</v>
      </c>
      <c r="F22" s="15">
        <v>4838</v>
      </c>
      <c r="G22" s="15">
        <v>640</v>
      </c>
      <c r="H22" s="15">
        <v>128</v>
      </c>
      <c r="I22" s="15">
        <v>72570</v>
      </c>
      <c r="J22" s="15">
        <v>72396</v>
      </c>
      <c r="K22" s="15">
        <v>83</v>
      </c>
      <c r="L22" s="15" t="s">
        <v>585</v>
      </c>
      <c r="M22" s="15" t="s">
        <v>586</v>
      </c>
      <c r="N22" s="15" t="str">
        <f t="shared" si="0"/>
        <v>StyleWithMyntra,MyntraTrend</v>
      </c>
      <c r="O22" s="15" t="s">
        <v>39</v>
      </c>
      <c r="P22" s="17">
        <f>(Post[[#This Row],[Likes]]+Post[[#This Row],[Shares]]+Post[[#This Row],[Comments]])/Post[[#This Row],[Impressions]]</f>
        <v>7.7249552156538517E-2</v>
      </c>
      <c r="Q22" s="15">
        <f t="shared" si="1"/>
        <v>5606</v>
      </c>
      <c r="R22" s="16">
        <f>_xlfn.XLOOKUP($O22,'Campaign Data '!$A:$A,'Campaign Data '!$B:$B)</f>
        <v>45570</v>
      </c>
      <c r="S22" s="16">
        <f>_xlfn.XLOOKUP($O22,'Campaign Data '!$A:$A,'Campaign Data '!$C:$C)</f>
        <v>45601</v>
      </c>
      <c r="T22" s="15" t="str">
        <f t="shared" si="2"/>
        <v>Before</v>
      </c>
      <c r="V22" s="46"/>
      <c r="W22" s="46"/>
      <c r="X22" s="46"/>
      <c r="Y22" s="46"/>
      <c r="Z22" s="46"/>
      <c r="AA22" s="46"/>
    </row>
    <row r="23" spans="1:27" ht="15">
      <c r="A23" s="15" t="s">
        <v>89</v>
      </c>
      <c r="B23" s="15" t="s">
        <v>41</v>
      </c>
      <c r="C23" s="16">
        <v>45715</v>
      </c>
      <c r="D23" s="15" t="s">
        <v>22</v>
      </c>
      <c r="E23" s="15" t="s">
        <v>23</v>
      </c>
      <c r="F23" s="15">
        <v>1570</v>
      </c>
      <c r="G23" s="15">
        <v>187</v>
      </c>
      <c r="H23" s="15">
        <v>260</v>
      </c>
      <c r="I23" s="15">
        <v>25120</v>
      </c>
      <c r="J23" s="15">
        <v>24613</v>
      </c>
      <c r="K23" s="15">
        <v>133</v>
      </c>
      <c r="L23" s="15" t="s">
        <v>583</v>
      </c>
      <c r="M23" s="15"/>
      <c r="N23" s="15" t="str">
        <f t="shared" si="0"/>
        <v>MyntraSale</v>
      </c>
      <c r="O23" s="15" t="s">
        <v>56</v>
      </c>
      <c r="P23" s="17">
        <f>(Post[[#This Row],[Likes]]+Post[[#This Row],[Shares]]+Post[[#This Row],[Comments]])/Post[[#This Row],[Impressions]]</f>
        <v>8.0294585987261149E-2</v>
      </c>
      <c r="Q23" s="15">
        <f t="shared" si="1"/>
        <v>2017</v>
      </c>
      <c r="R23" s="16">
        <f>_xlfn.XLOOKUP($O23,'Campaign Data '!$A:$A,'Campaign Data '!$B:$B)</f>
        <v>45667</v>
      </c>
      <c r="S23" s="16">
        <f>_xlfn.XLOOKUP($O23,'Campaign Data '!$A:$A,'Campaign Data '!$C:$C)</f>
        <v>45698</v>
      </c>
      <c r="T23" s="15" t="str">
        <f t="shared" si="2"/>
        <v>Before</v>
      </c>
      <c r="V23" s="46"/>
      <c r="W23" s="46"/>
      <c r="X23" s="46"/>
      <c r="Y23" s="46"/>
      <c r="Z23" s="46"/>
      <c r="AA23" s="46"/>
    </row>
    <row r="24" spans="1:27" ht="15">
      <c r="A24" s="15" t="s">
        <v>91</v>
      </c>
      <c r="B24" s="15" t="s">
        <v>41</v>
      </c>
      <c r="C24" s="16">
        <v>45602</v>
      </c>
      <c r="D24" s="15" t="s">
        <v>70</v>
      </c>
      <c r="E24" s="15" t="s">
        <v>71</v>
      </c>
      <c r="F24" s="15">
        <v>1606</v>
      </c>
      <c r="G24" s="15">
        <v>547</v>
      </c>
      <c r="H24" s="15">
        <v>316</v>
      </c>
      <c r="I24" s="15">
        <v>32120</v>
      </c>
      <c r="J24" s="15">
        <v>31736</v>
      </c>
      <c r="K24" s="15">
        <v>225</v>
      </c>
      <c r="L24" s="15" t="s">
        <v>583</v>
      </c>
      <c r="M24" s="15"/>
      <c r="N24" s="15" t="str">
        <f t="shared" si="0"/>
        <v>MyntraSale</v>
      </c>
      <c r="O24" s="15" t="s">
        <v>39</v>
      </c>
      <c r="P24" s="17">
        <f>(Post[[#This Row],[Likes]]+Post[[#This Row],[Shares]]+Post[[#This Row],[Comments]])/Post[[#This Row],[Impressions]]</f>
        <v>7.6867995018679955E-2</v>
      </c>
      <c r="Q24" s="15">
        <f t="shared" si="1"/>
        <v>2469</v>
      </c>
      <c r="R24" s="16">
        <f>_xlfn.XLOOKUP($O24,'Campaign Data '!$A:$A,'Campaign Data '!$B:$B)</f>
        <v>45570</v>
      </c>
      <c r="S24" s="16">
        <f>_xlfn.XLOOKUP($O24,'Campaign Data '!$A:$A,'Campaign Data '!$C:$C)</f>
        <v>45601</v>
      </c>
      <c r="T24" s="15" t="str">
        <f t="shared" si="2"/>
        <v>Before</v>
      </c>
      <c r="V24" s="46"/>
      <c r="W24" s="46"/>
      <c r="X24" s="46"/>
      <c r="Y24" s="46"/>
      <c r="Z24" s="46"/>
      <c r="AA24" s="46"/>
    </row>
    <row r="25" spans="1:27" ht="15">
      <c r="A25" s="15" t="s">
        <v>93</v>
      </c>
      <c r="B25" s="15" t="s">
        <v>41</v>
      </c>
      <c r="C25" s="16">
        <v>45680</v>
      </c>
      <c r="D25" s="15" t="s">
        <v>70</v>
      </c>
      <c r="E25" s="15" t="s">
        <v>71</v>
      </c>
      <c r="F25" s="15">
        <v>3961</v>
      </c>
      <c r="G25" s="15">
        <v>761</v>
      </c>
      <c r="H25" s="15">
        <v>131</v>
      </c>
      <c r="I25" s="15">
        <v>67337</v>
      </c>
      <c r="J25" s="15">
        <v>66615</v>
      </c>
      <c r="K25" s="15">
        <v>161</v>
      </c>
      <c r="L25" s="15" t="s">
        <v>586</v>
      </c>
      <c r="M25" s="15"/>
      <c r="N25" s="15" t="str">
        <f t="shared" si="0"/>
        <v>MyntraTrend</v>
      </c>
      <c r="O25" s="15" t="s">
        <v>25</v>
      </c>
      <c r="P25" s="17">
        <f>(Post[[#This Row],[Likes]]+Post[[#This Row],[Shares]]+Post[[#This Row],[Comments]])/Post[[#This Row],[Impressions]]</f>
        <v>7.2070332803659209E-2</v>
      </c>
      <c r="Q25" s="15">
        <f t="shared" si="1"/>
        <v>4853</v>
      </c>
      <c r="R25" s="16">
        <f>_xlfn.XLOOKUP($O25,'Campaign Data '!$A:$A,'Campaign Data '!$B:$B)</f>
        <v>45453</v>
      </c>
      <c r="S25" s="16">
        <f>_xlfn.XLOOKUP($O25,'Campaign Data '!$A:$A,'Campaign Data '!$C:$C)</f>
        <v>45478</v>
      </c>
      <c r="T25" s="15" t="str">
        <f t="shared" si="2"/>
        <v>Before</v>
      </c>
      <c r="V25" s="46"/>
      <c r="W25" s="46"/>
      <c r="X25" s="46"/>
      <c r="Y25" s="46"/>
      <c r="Z25" s="46"/>
      <c r="AA25" s="46"/>
    </row>
    <row r="26" spans="1:27" ht="15">
      <c r="A26" s="15" t="s">
        <v>95</v>
      </c>
      <c r="B26" s="15" t="s">
        <v>14</v>
      </c>
      <c r="C26" s="16">
        <v>45757</v>
      </c>
      <c r="D26" s="15" t="s">
        <v>43</v>
      </c>
      <c r="E26" s="15" t="s">
        <v>44</v>
      </c>
      <c r="F26" s="15">
        <v>3128</v>
      </c>
      <c r="G26" s="15">
        <v>211</v>
      </c>
      <c r="H26" s="15">
        <v>197</v>
      </c>
      <c r="I26" s="15">
        <v>59432</v>
      </c>
      <c r="J26" s="15">
        <v>59182</v>
      </c>
      <c r="K26" s="15">
        <v>238</v>
      </c>
      <c r="L26" s="15" t="s">
        <v>585</v>
      </c>
      <c r="M26" s="15" t="s">
        <v>583</v>
      </c>
      <c r="N26" s="15" t="str">
        <f t="shared" si="0"/>
        <v>StyleWithMyntra,MyntraSale</v>
      </c>
      <c r="O26" s="15" t="s">
        <v>19</v>
      </c>
      <c r="P26" s="17">
        <f>(Post[[#This Row],[Likes]]+Post[[#This Row],[Shares]]+Post[[#This Row],[Comments]])/Post[[#This Row],[Impressions]]</f>
        <v>5.9496567505720827E-2</v>
      </c>
      <c r="Q26" s="15">
        <f t="shared" si="1"/>
        <v>3536</v>
      </c>
      <c r="R26" s="16">
        <f>_xlfn.XLOOKUP($O26,'Campaign Data '!$A:$A,'Campaign Data '!$B:$B)</f>
        <v>45505</v>
      </c>
      <c r="S26" s="16">
        <f>_xlfn.XLOOKUP($O26,'Campaign Data '!$A:$A,'Campaign Data '!$C:$C)</f>
        <v>45535</v>
      </c>
      <c r="T26" s="15" t="str">
        <f t="shared" si="2"/>
        <v>Before</v>
      </c>
      <c r="V26" s="46"/>
      <c r="W26" s="46"/>
      <c r="X26" s="46"/>
      <c r="Y26" s="46"/>
      <c r="Z26" s="46"/>
      <c r="AA26" s="46"/>
    </row>
    <row r="27" spans="1:27" ht="15">
      <c r="A27" s="15" t="s">
        <v>97</v>
      </c>
      <c r="B27" s="15" t="s">
        <v>27</v>
      </c>
      <c r="C27" s="16">
        <v>45752</v>
      </c>
      <c r="D27" s="15" t="s">
        <v>16</v>
      </c>
      <c r="E27" s="15" t="s">
        <v>17</v>
      </c>
      <c r="F27" s="15">
        <v>3009</v>
      </c>
      <c r="G27" s="15">
        <v>413</v>
      </c>
      <c r="H27" s="15">
        <v>358</v>
      </c>
      <c r="I27" s="15">
        <v>42126</v>
      </c>
      <c r="J27" s="15">
        <v>41309</v>
      </c>
      <c r="K27" s="15">
        <v>211</v>
      </c>
      <c r="L27" s="15" t="s">
        <v>583</v>
      </c>
      <c r="M27" s="15"/>
      <c r="N27" s="15" t="str">
        <f t="shared" si="0"/>
        <v>MyntraSale</v>
      </c>
      <c r="O27" s="15" t="s">
        <v>25</v>
      </c>
      <c r="P27" s="17">
        <f>(Post[[#This Row],[Likes]]+Post[[#This Row],[Shares]]+Post[[#This Row],[Comments]])/Post[[#This Row],[Impressions]]</f>
        <v>8.9730807577268201E-2</v>
      </c>
      <c r="Q27" s="15">
        <f t="shared" si="1"/>
        <v>3780</v>
      </c>
      <c r="R27" s="16">
        <f>_xlfn.XLOOKUP($O27,'Campaign Data '!$A:$A,'Campaign Data '!$B:$B)</f>
        <v>45453</v>
      </c>
      <c r="S27" s="16">
        <f>_xlfn.XLOOKUP($O27,'Campaign Data '!$A:$A,'Campaign Data '!$C:$C)</f>
        <v>45478</v>
      </c>
      <c r="T27" s="15" t="str">
        <f t="shared" si="2"/>
        <v>Before</v>
      </c>
      <c r="V27" s="46"/>
      <c r="W27" s="46"/>
      <c r="X27" s="46"/>
      <c r="Y27" s="46"/>
      <c r="Z27" s="46"/>
      <c r="AA27" s="46"/>
    </row>
    <row r="28" spans="1:27" ht="15">
      <c r="A28" s="15" t="s">
        <v>99</v>
      </c>
      <c r="B28" s="15" t="s">
        <v>27</v>
      </c>
      <c r="C28" s="16">
        <v>45552</v>
      </c>
      <c r="D28" s="15" t="s">
        <v>22</v>
      </c>
      <c r="E28" s="15" t="s">
        <v>23</v>
      </c>
      <c r="F28" s="15">
        <v>2076</v>
      </c>
      <c r="G28" s="15">
        <v>195</v>
      </c>
      <c r="H28" s="15">
        <v>104</v>
      </c>
      <c r="I28" s="15">
        <v>33216</v>
      </c>
      <c r="J28" s="15">
        <v>32244</v>
      </c>
      <c r="K28" s="15">
        <v>51</v>
      </c>
      <c r="L28" s="15" t="s">
        <v>586</v>
      </c>
      <c r="M28" s="15"/>
      <c r="N28" s="15" t="str">
        <f t="shared" si="0"/>
        <v>MyntraTrend</v>
      </c>
      <c r="O28" s="15" t="s">
        <v>56</v>
      </c>
      <c r="P28" s="17">
        <f>(Post[[#This Row],[Likes]]+Post[[#This Row],[Shares]]+Post[[#This Row],[Comments]])/Post[[#This Row],[Impressions]]</f>
        <v>7.1501685934489398E-2</v>
      </c>
      <c r="Q28" s="15">
        <f t="shared" si="1"/>
        <v>2375</v>
      </c>
      <c r="R28" s="16">
        <f>_xlfn.XLOOKUP($O28,'Campaign Data '!$A:$A,'Campaign Data '!$B:$B)</f>
        <v>45667</v>
      </c>
      <c r="S28" s="16">
        <f>_xlfn.XLOOKUP($O28,'Campaign Data '!$A:$A,'Campaign Data '!$C:$C)</f>
        <v>45698</v>
      </c>
      <c r="T28" s="15" t="str">
        <f t="shared" si="2"/>
        <v>Before</v>
      </c>
      <c r="V28" s="46"/>
      <c r="W28" s="46"/>
      <c r="X28" s="46"/>
      <c r="Y28" s="46"/>
      <c r="Z28" s="46"/>
      <c r="AA28" s="46"/>
    </row>
    <row r="29" spans="1:27" ht="15">
      <c r="A29" s="15" t="s">
        <v>101</v>
      </c>
      <c r="B29" s="15" t="s">
        <v>31</v>
      </c>
      <c r="C29" s="16">
        <v>45720</v>
      </c>
      <c r="D29" s="15" t="s">
        <v>70</v>
      </c>
      <c r="E29" s="15" t="s">
        <v>71</v>
      </c>
      <c r="F29" s="15">
        <v>432</v>
      </c>
      <c r="G29" s="15">
        <v>624</v>
      </c>
      <c r="H29" s="15">
        <v>123</v>
      </c>
      <c r="I29" s="15">
        <v>6912</v>
      </c>
      <c r="J29" s="15">
        <v>6259</v>
      </c>
      <c r="K29" s="15">
        <v>79</v>
      </c>
      <c r="L29" s="15" t="s">
        <v>583</v>
      </c>
      <c r="M29" s="15" t="s">
        <v>586</v>
      </c>
      <c r="N29" s="15" t="str">
        <f t="shared" si="0"/>
        <v>MyntraSale,MyntraTrend</v>
      </c>
      <c r="O29" s="15" t="s">
        <v>25</v>
      </c>
      <c r="P29" s="17">
        <f>(Post[[#This Row],[Likes]]+Post[[#This Row],[Shares]]+Post[[#This Row],[Comments]])/Post[[#This Row],[Impressions]]</f>
        <v>0.17057291666666666</v>
      </c>
      <c r="Q29" s="15">
        <f t="shared" si="1"/>
        <v>1179</v>
      </c>
      <c r="R29" s="16">
        <f>_xlfn.XLOOKUP($O29,'Campaign Data '!$A:$A,'Campaign Data '!$B:$B)</f>
        <v>45453</v>
      </c>
      <c r="S29" s="16">
        <f>_xlfn.XLOOKUP($O29,'Campaign Data '!$A:$A,'Campaign Data '!$C:$C)</f>
        <v>45478</v>
      </c>
      <c r="T29" s="15" t="str">
        <f t="shared" si="2"/>
        <v>Before</v>
      </c>
      <c r="V29" s="46"/>
      <c r="W29" s="46"/>
      <c r="X29" s="46"/>
      <c r="Y29" s="46"/>
      <c r="Z29" s="46"/>
      <c r="AA29" s="46"/>
    </row>
    <row r="30" spans="1:27" ht="15">
      <c r="A30" s="15" t="s">
        <v>104</v>
      </c>
      <c r="B30" s="15" t="s">
        <v>31</v>
      </c>
      <c r="C30" s="16">
        <v>45688</v>
      </c>
      <c r="D30" s="15" t="s">
        <v>43</v>
      </c>
      <c r="E30" s="15" t="s">
        <v>44</v>
      </c>
      <c r="F30" s="15">
        <v>2566</v>
      </c>
      <c r="G30" s="15">
        <v>118</v>
      </c>
      <c r="H30" s="15">
        <v>37</v>
      </c>
      <c r="I30" s="15">
        <v>12830</v>
      </c>
      <c r="J30" s="15">
        <v>12264</v>
      </c>
      <c r="K30" s="15">
        <v>221</v>
      </c>
      <c r="L30" s="15" t="s">
        <v>586</v>
      </c>
      <c r="M30" s="15" t="s">
        <v>584</v>
      </c>
      <c r="N30" s="15" t="str">
        <f t="shared" si="0"/>
        <v>MyntraTrend,MyntraFashion</v>
      </c>
      <c r="O30" s="15" t="s">
        <v>39</v>
      </c>
      <c r="P30" s="17">
        <f>(Post[[#This Row],[Likes]]+Post[[#This Row],[Shares]]+Post[[#This Row],[Comments]])/Post[[#This Row],[Impressions]]</f>
        <v>0.21208106001558846</v>
      </c>
      <c r="Q30" s="15">
        <f t="shared" si="1"/>
        <v>2721</v>
      </c>
      <c r="R30" s="16">
        <f>_xlfn.XLOOKUP($O30,'Campaign Data '!$A:$A,'Campaign Data '!$B:$B)</f>
        <v>45570</v>
      </c>
      <c r="S30" s="16">
        <f>_xlfn.XLOOKUP($O30,'Campaign Data '!$A:$A,'Campaign Data '!$C:$C)</f>
        <v>45601</v>
      </c>
      <c r="T30" s="15" t="str">
        <f t="shared" si="2"/>
        <v>Before</v>
      </c>
      <c r="V30" s="46"/>
      <c r="W30" s="46"/>
      <c r="X30" s="46"/>
      <c r="Y30" s="46"/>
      <c r="Z30" s="46"/>
      <c r="AA30" s="46"/>
    </row>
    <row r="31" spans="1:27" ht="15">
      <c r="A31" s="15" t="s">
        <v>107</v>
      </c>
      <c r="B31" s="15" t="s">
        <v>31</v>
      </c>
      <c r="C31" s="16">
        <v>45713</v>
      </c>
      <c r="D31" s="15" t="s">
        <v>70</v>
      </c>
      <c r="E31" s="15" t="s">
        <v>71</v>
      </c>
      <c r="F31" s="15">
        <v>3095</v>
      </c>
      <c r="G31" s="15">
        <v>39</v>
      </c>
      <c r="H31" s="15">
        <v>78</v>
      </c>
      <c r="I31" s="15">
        <v>55710</v>
      </c>
      <c r="J31" s="15">
        <v>54808</v>
      </c>
      <c r="K31" s="15">
        <v>93</v>
      </c>
      <c r="L31" s="15" t="s">
        <v>583</v>
      </c>
      <c r="M31" s="15"/>
      <c r="N31" s="15" t="str">
        <f t="shared" si="0"/>
        <v>MyntraSale</v>
      </c>
      <c r="O31" s="15" t="s">
        <v>56</v>
      </c>
      <c r="P31" s="17">
        <f>(Post[[#This Row],[Likes]]+Post[[#This Row],[Shares]]+Post[[#This Row],[Comments]])/Post[[#This Row],[Impressions]]</f>
        <v>5.7655717106444085E-2</v>
      </c>
      <c r="Q31" s="15">
        <f t="shared" si="1"/>
        <v>3212</v>
      </c>
      <c r="R31" s="16">
        <f>_xlfn.XLOOKUP($O31,'Campaign Data '!$A:$A,'Campaign Data '!$B:$B)</f>
        <v>45667</v>
      </c>
      <c r="S31" s="16">
        <f>_xlfn.XLOOKUP($O31,'Campaign Data '!$A:$A,'Campaign Data '!$C:$C)</f>
        <v>45698</v>
      </c>
      <c r="T31" s="15" t="str">
        <f t="shared" si="2"/>
        <v>Before</v>
      </c>
      <c r="V31" s="46"/>
      <c r="W31" s="46"/>
      <c r="X31" s="46"/>
      <c r="Y31" s="46"/>
      <c r="Z31" s="46"/>
      <c r="AA31" s="46"/>
    </row>
    <row r="32" spans="1:27" ht="15">
      <c r="A32" s="15" t="s">
        <v>109</v>
      </c>
      <c r="B32" s="15" t="s">
        <v>31</v>
      </c>
      <c r="C32" s="16">
        <v>45642</v>
      </c>
      <c r="D32" s="15" t="s">
        <v>22</v>
      </c>
      <c r="E32" s="15" t="s">
        <v>23</v>
      </c>
      <c r="F32" s="15">
        <v>438</v>
      </c>
      <c r="G32" s="15">
        <v>153</v>
      </c>
      <c r="H32" s="15">
        <v>275</v>
      </c>
      <c r="I32" s="15">
        <v>3066</v>
      </c>
      <c r="J32" s="15">
        <v>2701</v>
      </c>
      <c r="K32" s="15">
        <v>282</v>
      </c>
      <c r="L32" s="15" t="s">
        <v>586</v>
      </c>
      <c r="M32" s="15"/>
      <c r="N32" s="15" t="str">
        <f t="shared" si="0"/>
        <v>MyntraTrend</v>
      </c>
      <c r="O32" s="15" t="s">
        <v>56</v>
      </c>
      <c r="P32" s="17">
        <f>(Post[[#This Row],[Likes]]+Post[[#This Row],[Shares]]+Post[[#This Row],[Comments]])/Post[[#This Row],[Impressions]]</f>
        <v>0.28245270711024134</v>
      </c>
      <c r="Q32" s="15">
        <f t="shared" si="1"/>
        <v>866</v>
      </c>
      <c r="R32" s="16">
        <f>_xlfn.XLOOKUP($O32,'Campaign Data '!$A:$A,'Campaign Data '!$B:$B)</f>
        <v>45667</v>
      </c>
      <c r="S32" s="16">
        <f>_xlfn.XLOOKUP($O32,'Campaign Data '!$A:$A,'Campaign Data '!$C:$C)</f>
        <v>45698</v>
      </c>
      <c r="T32" s="15" t="str">
        <f t="shared" si="2"/>
        <v>Before</v>
      </c>
      <c r="V32" s="46"/>
      <c r="W32" s="46"/>
      <c r="X32" s="46"/>
      <c r="Y32" s="46"/>
      <c r="Z32" s="46"/>
      <c r="AA32" s="46"/>
    </row>
    <row r="33" spans="1:27" ht="15">
      <c r="A33" s="15" t="s">
        <v>111</v>
      </c>
      <c r="B33" s="15" t="s">
        <v>14</v>
      </c>
      <c r="C33" s="16">
        <v>45504</v>
      </c>
      <c r="D33" s="15" t="s">
        <v>43</v>
      </c>
      <c r="E33" s="15" t="s">
        <v>44</v>
      </c>
      <c r="F33" s="15">
        <v>2278</v>
      </c>
      <c r="G33" s="15">
        <v>10</v>
      </c>
      <c r="H33" s="15">
        <v>321</v>
      </c>
      <c r="I33" s="15">
        <v>13668</v>
      </c>
      <c r="J33" s="15">
        <v>12676</v>
      </c>
      <c r="K33" s="15">
        <v>275</v>
      </c>
      <c r="L33" s="15" t="s">
        <v>586</v>
      </c>
      <c r="M33" s="15" t="s">
        <v>584</v>
      </c>
      <c r="N33" s="15" t="str">
        <f t="shared" si="0"/>
        <v>MyntraTrend,MyntraFashion</v>
      </c>
      <c r="O33" s="15" t="s">
        <v>56</v>
      </c>
      <c r="P33" s="17">
        <f>(Post[[#This Row],[Likes]]+Post[[#This Row],[Shares]]+Post[[#This Row],[Comments]])/Post[[#This Row],[Impressions]]</f>
        <v>0.19088381621305239</v>
      </c>
      <c r="Q33" s="15">
        <f t="shared" si="1"/>
        <v>2609</v>
      </c>
      <c r="R33" s="16">
        <f>_xlfn.XLOOKUP($O33,'Campaign Data '!$A:$A,'Campaign Data '!$B:$B)</f>
        <v>45667</v>
      </c>
      <c r="S33" s="16">
        <f>_xlfn.XLOOKUP($O33,'Campaign Data '!$A:$A,'Campaign Data '!$C:$C)</f>
        <v>45698</v>
      </c>
      <c r="T33" s="15" t="str">
        <f t="shared" si="2"/>
        <v>Before</v>
      </c>
      <c r="V33" s="46"/>
      <c r="W33" s="46"/>
      <c r="X33" s="46"/>
      <c r="Y33" s="46"/>
      <c r="Z33" s="46"/>
      <c r="AA33" s="46"/>
    </row>
    <row r="34" spans="1:27" ht="15">
      <c r="A34" s="15" t="s">
        <v>113</v>
      </c>
      <c r="B34" s="15" t="s">
        <v>41</v>
      </c>
      <c r="C34" s="16">
        <v>45525</v>
      </c>
      <c r="D34" s="15" t="s">
        <v>50</v>
      </c>
      <c r="E34" s="15" t="s">
        <v>51</v>
      </c>
      <c r="F34" s="15">
        <v>1407</v>
      </c>
      <c r="G34" s="15">
        <v>400</v>
      </c>
      <c r="H34" s="15">
        <v>351</v>
      </c>
      <c r="I34" s="15">
        <v>16884</v>
      </c>
      <c r="J34" s="15">
        <v>15954</v>
      </c>
      <c r="K34" s="15">
        <v>113</v>
      </c>
      <c r="L34" s="15" t="s">
        <v>584</v>
      </c>
      <c r="M34" s="15" t="s">
        <v>588</v>
      </c>
      <c r="N34" s="15" t="str">
        <f t="shared" si="0"/>
        <v>MyntraFashion,FashionDeals</v>
      </c>
      <c r="O34" s="15" t="s">
        <v>39</v>
      </c>
      <c r="P34" s="17">
        <f>(Post[[#This Row],[Likes]]+Post[[#This Row],[Shares]]+Post[[#This Row],[Comments]])/Post[[#This Row],[Impressions]]</f>
        <v>0.12781331438047855</v>
      </c>
      <c r="Q34" s="15">
        <f t="shared" si="1"/>
        <v>2158</v>
      </c>
      <c r="R34" s="16">
        <f>_xlfn.XLOOKUP($O34,'Campaign Data '!$A:$A,'Campaign Data '!$B:$B)</f>
        <v>45570</v>
      </c>
      <c r="S34" s="16">
        <f>_xlfn.XLOOKUP($O34,'Campaign Data '!$A:$A,'Campaign Data '!$C:$C)</f>
        <v>45601</v>
      </c>
      <c r="T34" s="15" t="str">
        <f t="shared" si="2"/>
        <v>Before</v>
      </c>
      <c r="V34" s="46"/>
      <c r="W34" s="46"/>
      <c r="X34" s="46"/>
      <c r="Y34" s="46"/>
      <c r="Z34" s="46"/>
      <c r="AA34" s="46"/>
    </row>
    <row r="35" spans="1:27" ht="15">
      <c r="A35" s="15" t="s">
        <v>115</v>
      </c>
      <c r="B35" s="15" t="s">
        <v>41</v>
      </c>
      <c r="C35" s="16">
        <v>45742</v>
      </c>
      <c r="D35" s="15" t="s">
        <v>22</v>
      </c>
      <c r="E35" s="15" t="s">
        <v>23</v>
      </c>
      <c r="F35" s="15">
        <v>1652</v>
      </c>
      <c r="G35" s="15">
        <v>89</v>
      </c>
      <c r="H35" s="15">
        <v>357</v>
      </c>
      <c r="I35" s="15">
        <v>29736</v>
      </c>
      <c r="J35" s="15">
        <v>28771</v>
      </c>
      <c r="K35" s="15">
        <v>215</v>
      </c>
      <c r="L35" s="15" t="s">
        <v>586</v>
      </c>
      <c r="M35" s="15" t="s">
        <v>588</v>
      </c>
      <c r="N35" s="15" t="str">
        <f t="shared" si="0"/>
        <v>MyntraTrend,FashionDeals</v>
      </c>
      <c r="O35" s="15" t="s">
        <v>25</v>
      </c>
      <c r="P35" s="17">
        <f>(Post[[#This Row],[Likes]]+Post[[#This Row],[Shares]]+Post[[#This Row],[Comments]])/Post[[#This Row],[Impressions]]</f>
        <v>7.055421038471886E-2</v>
      </c>
      <c r="Q35" s="15">
        <f t="shared" si="1"/>
        <v>2098</v>
      </c>
      <c r="R35" s="16">
        <f>_xlfn.XLOOKUP($O35,'Campaign Data '!$A:$A,'Campaign Data '!$B:$B)</f>
        <v>45453</v>
      </c>
      <c r="S35" s="16">
        <f>_xlfn.XLOOKUP($O35,'Campaign Data '!$A:$A,'Campaign Data '!$C:$C)</f>
        <v>45478</v>
      </c>
      <c r="T35" s="15" t="str">
        <f t="shared" si="2"/>
        <v>Before</v>
      </c>
    </row>
    <row r="36" spans="1:27" ht="15">
      <c r="A36" s="15" t="s">
        <v>118</v>
      </c>
      <c r="B36" s="15" t="s">
        <v>31</v>
      </c>
      <c r="C36" s="16">
        <v>45626</v>
      </c>
      <c r="D36" s="15" t="s">
        <v>70</v>
      </c>
      <c r="E36" s="15" t="s">
        <v>71</v>
      </c>
      <c r="F36" s="15">
        <v>3775</v>
      </c>
      <c r="G36" s="15">
        <v>16</v>
      </c>
      <c r="H36" s="15">
        <v>239</v>
      </c>
      <c r="I36" s="15">
        <v>33975</v>
      </c>
      <c r="J36" s="15">
        <v>33310</v>
      </c>
      <c r="K36" s="15">
        <v>271</v>
      </c>
      <c r="L36" s="15" t="s">
        <v>585</v>
      </c>
      <c r="M36" s="15" t="s">
        <v>583</v>
      </c>
      <c r="N36" s="15" t="str">
        <f t="shared" si="0"/>
        <v>StyleWithMyntra,MyntraSale</v>
      </c>
      <c r="O36" s="15" t="s">
        <v>39</v>
      </c>
      <c r="P36" s="17">
        <f>(Post[[#This Row],[Likes]]+Post[[#This Row],[Shares]]+Post[[#This Row],[Comments]])/Post[[#This Row],[Impressions]]</f>
        <v>0.11861662987490802</v>
      </c>
      <c r="Q36" s="15">
        <f t="shared" si="1"/>
        <v>4030</v>
      </c>
      <c r="R36" s="16">
        <f>_xlfn.XLOOKUP($O36,'Campaign Data '!$A:$A,'Campaign Data '!$B:$B)</f>
        <v>45570</v>
      </c>
      <c r="S36" s="16">
        <f>_xlfn.XLOOKUP($O36,'Campaign Data '!$A:$A,'Campaign Data '!$C:$C)</f>
        <v>45601</v>
      </c>
      <c r="T36" s="15" t="str">
        <f t="shared" si="2"/>
        <v>Before</v>
      </c>
    </row>
    <row r="37" spans="1:27" ht="15">
      <c r="A37" s="15" t="s">
        <v>120</v>
      </c>
      <c r="B37" s="15" t="s">
        <v>31</v>
      </c>
      <c r="C37" s="16">
        <v>45766</v>
      </c>
      <c r="D37" s="15" t="s">
        <v>33</v>
      </c>
      <c r="E37" s="15" t="s">
        <v>34</v>
      </c>
      <c r="F37" s="15">
        <v>4518</v>
      </c>
      <c r="G37" s="15">
        <v>285</v>
      </c>
      <c r="H37" s="15">
        <v>383</v>
      </c>
      <c r="I37" s="15">
        <v>67770</v>
      </c>
      <c r="J37" s="15">
        <v>67621</v>
      </c>
      <c r="K37" s="15">
        <v>31</v>
      </c>
      <c r="L37" s="15" t="s">
        <v>588</v>
      </c>
      <c r="M37" s="15"/>
      <c r="N37" s="15" t="str">
        <f t="shared" si="0"/>
        <v>FashionDeals</v>
      </c>
      <c r="O37" s="15" t="s">
        <v>25</v>
      </c>
      <c r="P37" s="17">
        <f>(Post[[#This Row],[Likes]]+Post[[#This Row],[Shares]]+Post[[#This Row],[Comments]])/Post[[#This Row],[Impressions]]</f>
        <v>7.6523535487678915E-2</v>
      </c>
      <c r="Q37" s="15">
        <f t="shared" si="1"/>
        <v>5186</v>
      </c>
      <c r="R37" s="16">
        <f>_xlfn.XLOOKUP($O37,'Campaign Data '!$A:$A,'Campaign Data '!$B:$B)</f>
        <v>45453</v>
      </c>
      <c r="S37" s="16">
        <f>_xlfn.XLOOKUP($O37,'Campaign Data '!$A:$A,'Campaign Data '!$C:$C)</f>
        <v>45478</v>
      </c>
      <c r="T37" s="15" t="str">
        <f t="shared" si="2"/>
        <v>Before</v>
      </c>
    </row>
    <row r="38" spans="1:27" ht="15">
      <c r="A38" s="15" t="s">
        <v>122</v>
      </c>
      <c r="B38" s="15" t="s">
        <v>41</v>
      </c>
      <c r="C38" s="16">
        <v>45663</v>
      </c>
      <c r="D38" s="15" t="s">
        <v>43</v>
      </c>
      <c r="E38" s="15" t="s">
        <v>44</v>
      </c>
      <c r="F38" s="15">
        <v>3024</v>
      </c>
      <c r="G38" s="15">
        <v>925</v>
      </c>
      <c r="H38" s="15">
        <v>350</v>
      </c>
      <c r="I38" s="15">
        <v>24192</v>
      </c>
      <c r="J38" s="15">
        <v>23518</v>
      </c>
      <c r="K38" s="15">
        <v>36</v>
      </c>
      <c r="L38" s="15" t="s">
        <v>583</v>
      </c>
      <c r="M38" s="15"/>
      <c r="N38" s="15" t="str">
        <f t="shared" si="0"/>
        <v>MyntraSale</v>
      </c>
      <c r="O38" s="15" t="s">
        <v>39</v>
      </c>
      <c r="P38" s="17">
        <f>(Post[[#This Row],[Likes]]+Post[[#This Row],[Shares]]+Post[[#This Row],[Comments]])/Post[[#This Row],[Impressions]]</f>
        <v>0.17770337301587302</v>
      </c>
      <c r="Q38" s="15">
        <f t="shared" si="1"/>
        <v>4299</v>
      </c>
      <c r="R38" s="16">
        <f>_xlfn.XLOOKUP($O38,'Campaign Data '!$A:$A,'Campaign Data '!$B:$B)</f>
        <v>45570</v>
      </c>
      <c r="S38" s="16">
        <f>_xlfn.XLOOKUP($O38,'Campaign Data '!$A:$A,'Campaign Data '!$C:$C)</f>
        <v>45601</v>
      </c>
      <c r="T38" s="15" t="str">
        <f t="shared" si="2"/>
        <v>Before</v>
      </c>
    </row>
    <row r="39" spans="1:27" ht="15">
      <c r="A39" s="15" t="s">
        <v>124</v>
      </c>
      <c r="B39" s="15" t="s">
        <v>27</v>
      </c>
      <c r="C39" s="16">
        <v>45705</v>
      </c>
      <c r="D39" s="15" t="s">
        <v>16</v>
      </c>
      <c r="E39" s="15" t="s">
        <v>17</v>
      </c>
      <c r="F39" s="15">
        <v>3138</v>
      </c>
      <c r="G39" s="15">
        <v>123</v>
      </c>
      <c r="H39" s="15">
        <v>291</v>
      </c>
      <c r="I39" s="15">
        <v>28242</v>
      </c>
      <c r="J39" s="15">
        <v>27550</v>
      </c>
      <c r="K39" s="15">
        <v>87</v>
      </c>
      <c r="L39" s="15" t="s">
        <v>588</v>
      </c>
      <c r="M39" s="15"/>
      <c r="N39" s="15" t="str">
        <f t="shared" si="0"/>
        <v>FashionDeals</v>
      </c>
      <c r="O39" s="15" t="s">
        <v>56</v>
      </c>
      <c r="P39" s="17">
        <f>(Post[[#This Row],[Likes]]+Post[[#This Row],[Shares]]+Post[[#This Row],[Comments]])/Post[[#This Row],[Impressions]]</f>
        <v>0.12577012959422137</v>
      </c>
      <c r="Q39" s="15">
        <f t="shared" si="1"/>
        <v>3552</v>
      </c>
      <c r="R39" s="16">
        <f>_xlfn.XLOOKUP($O39,'Campaign Data '!$A:$A,'Campaign Data '!$B:$B)</f>
        <v>45667</v>
      </c>
      <c r="S39" s="16">
        <f>_xlfn.XLOOKUP($O39,'Campaign Data '!$A:$A,'Campaign Data '!$C:$C)</f>
        <v>45698</v>
      </c>
      <c r="T39" s="15" t="str">
        <f t="shared" si="2"/>
        <v>Before</v>
      </c>
    </row>
    <row r="40" spans="1:27" ht="15">
      <c r="A40" s="15" t="s">
        <v>126</v>
      </c>
      <c r="B40" s="15" t="s">
        <v>41</v>
      </c>
      <c r="C40" s="16">
        <v>45621</v>
      </c>
      <c r="D40" s="15" t="s">
        <v>50</v>
      </c>
      <c r="E40" s="15" t="s">
        <v>51</v>
      </c>
      <c r="F40" s="15">
        <v>3564</v>
      </c>
      <c r="G40" s="15">
        <v>629</v>
      </c>
      <c r="H40" s="15">
        <v>177</v>
      </c>
      <c r="I40" s="15">
        <v>60588</v>
      </c>
      <c r="J40" s="15">
        <v>59627</v>
      </c>
      <c r="K40" s="15">
        <v>92</v>
      </c>
      <c r="L40" s="15" t="s">
        <v>588</v>
      </c>
      <c r="M40" s="15" t="s">
        <v>583</v>
      </c>
      <c r="N40" s="15" t="str">
        <f t="shared" si="0"/>
        <v>FashionDeals,MyntraSale</v>
      </c>
      <c r="O40" s="15" t="s">
        <v>39</v>
      </c>
      <c r="P40" s="17">
        <f>(Post[[#This Row],[Likes]]+Post[[#This Row],[Shares]]+Post[[#This Row],[Comments]])/Post[[#This Row],[Impressions]]</f>
        <v>7.2126493695121141E-2</v>
      </c>
      <c r="Q40" s="15">
        <f t="shared" si="1"/>
        <v>4370</v>
      </c>
      <c r="R40" s="16">
        <f>_xlfn.XLOOKUP($O40,'Campaign Data '!$A:$A,'Campaign Data '!$B:$B)</f>
        <v>45570</v>
      </c>
      <c r="S40" s="16">
        <f>_xlfn.XLOOKUP($O40,'Campaign Data '!$A:$A,'Campaign Data '!$C:$C)</f>
        <v>45601</v>
      </c>
      <c r="T40" s="15" t="str">
        <f t="shared" si="2"/>
        <v>Before</v>
      </c>
    </row>
    <row r="41" spans="1:27" ht="15">
      <c r="A41" s="15" t="s">
        <v>129</v>
      </c>
      <c r="B41" s="15" t="s">
        <v>14</v>
      </c>
      <c r="C41" s="16">
        <v>45723</v>
      </c>
      <c r="D41" s="15" t="s">
        <v>50</v>
      </c>
      <c r="E41" s="15" t="s">
        <v>51</v>
      </c>
      <c r="F41" s="15">
        <v>4750</v>
      </c>
      <c r="G41" s="15">
        <v>151</v>
      </c>
      <c r="H41" s="15">
        <v>415</v>
      </c>
      <c r="I41" s="15">
        <v>38000</v>
      </c>
      <c r="J41" s="15">
        <v>37792</v>
      </c>
      <c r="K41" s="15">
        <v>299</v>
      </c>
      <c r="L41" s="15" t="s">
        <v>585</v>
      </c>
      <c r="M41" s="15" t="s">
        <v>583</v>
      </c>
      <c r="N41" s="15" t="str">
        <f t="shared" si="0"/>
        <v>StyleWithMyntra,MyntraSale</v>
      </c>
      <c r="O41" s="15" t="s">
        <v>25</v>
      </c>
      <c r="P41" s="17">
        <f>(Post[[#This Row],[Likes]]+Post[[#This Row],[Shares]]+Post[[#This Row],[Comments]])/Post[[#This Row],[Impressions]]</f>
        <v>0.13989473684210527</v>
      </c>
      <c r="Q41" s="15">
        <f t="shared" si="1"/>
        <v>5316</v>
      </c>
      <c r="R41" s="16">
        <f>_xlfn.XLOOKUP($O41,'Campaign Data '!$A:$A,'Campaign Data '!$B:$B)</f>
        <v>45453</v>
      </c>
      <c r="S41" s="16">
        <f>_xlfn.XLOOKUP($O41,'Campaign Data '!$A:$A,'Campaign Data '!$C:$C)</f>
        <v>45478</v>
      </c>
      <c r="T41" s="15" t="str">
        <f t="shared" si="2"/>
        <v>Before</v>
      </c>
    </row>
    <row r="42" spans="1:27" ht="15">
      <c r="A42" s="15" t="s">
        <v>131</v>
      </c>
      <c r="B42" s="15" t="s">
        <v>31</v>
      </c>
      <c r="C42" s="16">
        <v>45724</v>
      </c>
      <c r="D42" s="15" t="s">
        <v>16</v>
      </c>
      <c r="E42" s="15" t="s">
        <v>17</v>
      </c>
      <c r="F42" s="15">
        <v>456</v>
      </c>
      <c r="G42" s="15">
        <v>629</v>
      </c>
      <c r="H42" s="15">
        <v>428</v>
      </c>
      <c r="I42" s="15">
        <v>8208</v>
      </c>
      <c r="J42" s="15">
        <v>7377</v>
      </c>
      <c r="K42" s="15">
        <v>205</v>
      </c>
      <c r="L42" s="15" t="s">
        <v>583</v>
      </c>
      <c r="M42" s="15" t="s">
        <v>588</v>
      </c>
      <c r="N42" s="15" t="str">
        <f t="shared" si="0"/>
        <v>MyntraSale,FashionDeals</v>
      </c>
      <c r="O42" s="15" t="s">
        <v>39</v>
      </c>
      <c r="P42" s="17">
        <f>(Post[[#This Row],[Likes]]+Post[[#This Row],[Shares]]+Post[[#This Row],[Comments]])/Post[[#This Row],[Impressions]]</f>
        <v>0.18433235867446393</v>
      </c>
      <c r="Q42" s="15">
        <f t="shared" si="1"/>
        <v>1513</v>
      </c>
      <c r="R42" s="16">
        <f>_xlfn.XLOOKUP($O42,'Campaign Data '!$A:$A,'Campaign Data '!$B:$B)</f>
        <v>45570</v>
      </c>
      <c r="S42" s="16">
        <f>_xlfn.XLOOKUP($O42,'Campaign Data '!$A:$A,'Campaign Data '!$C:$C)</f>
        <v>45601</v>
      </c>
      <c r="T42" s="15" t="str">
        <f t="shared" si="2"/>
        <v>Before</v>
      </c>
    </row>
    <row r="43" spans="1:27" ht="15">
      <c r="A43" s="15" t="s">
        <v>133</v>
      </c>
      <c r="B43" s="15" t="s">
        <v>27</v>
      </c>
      <c r="C43" s="16">
        <v>45721</v>
      </c>
      <c r="D43" s="15" t="s">
        <v>16</v>
      </c>
      <c r="E43" s="15" t="s">
        <v>17</v>
      </c>
      <c r="F43" s="15">
        <v>1543</v>
      </c>
      <c r="G43" s="15">
        <v>820</v>
      </c>
      <c r="H43" s="15">
        <v>333</v>
      </c>
      <c r="I43" s="15">
        <v>12344</v>
      </c>
      <c r="J43" s="15">
        <v>11496</v>
      </c>
      <c r="K43" s="15">
        <v>241</v>
      </c>
      <c r="L43" s="15" t="s">
        <v>585</v>
      </c>
      <c r="M43" s="15"/>
      <c r="N43" s="15" t="str">
        <f t="shared" si="0"/>
        <v>StyleWithMyntra</v>
      </c>
      <c r="O43" s="15" t="s">
        <v>39</v>
      </c>
      <c r="P43" s="17">
        <f>(Post[[#This Row],[Likes]]+Post[[#This Row],[Shares]]+Post[[#This Row],[Comments]])/Post[[#This Row],[Impressions]]</f>
        <v>0.21840570317563188</v>
      </c>
      <c r="Q43" s="15">
        <f t="shared" si="1"/>
        <v>2696</v>
      </c>
      <c r="R43" s="16">
        <f>_xlfn.XLOOKUP($O43,'Campaign Data '!$A:$A,'Campaign Data '!$B:$B)</f>
        <v>45570</v>
      </c>
      <c r="S43" s="16">
        <f>_xlfn.XLOOKUP($O43,'Campaign Data '!$A:$A,'Campaign Data '!$C:$C)</f>
        <v>45601</v>
      </c>
      <c r="T43" s="15" t="str">
        <f t="shared" si="2"/>
        <v>Before</v>
      </c>
    </row>
    <row r="44" spans="1:27" ht="15">
      <c r="A44" s="15" t="s">
        <v>135</v>
      </c>
      <c r="B44" s="15" t="s">
        <v>31</v>
      </c>
      <c r="C44" s="16">
        <v>45640</v>
      </c>
      <c r="D44" s="15" t="s">
        <v>43</v>
      </c>
      <c r="E44" s="15" t="s">
        <v>44</v>
      </c>
      <c r="F44" s="15">
        <v>2174</v>
      </c>
      <c r="G44" s="15">
        <v>658</v>
      </c>
      <c r="H44" s="15">
        <v>15</v>
      </c>
      <c r="I44" s="15">
        <v>13044</v>
      </c>
      <c r="J44" s="15">
        <v>12206</v>
      </c>
      <c r="K44" s="15">
        <v>137</v>
      </c>
      <c r="L44" s="15" t="s">
        <v>583</v>
      </c>
      <c r="M44" s="15" t="s">
        <v>584</v>
      </c>
      <c r="N44" s="15" t="str">
        <f t="shared" si="0"/>
        <v>MyntraSale,MyntraFashion</v>
      </c>
      <c r="O44" s="15" t="s">
        <v>56</v>
      </c>
      <c r="P44" s="17">
        <f>(Post[[#This Row],[Likes]]+Post[[#This Row],[Shares]]+Post[[#This Row],[Comments]])/Post[[#This Row],[Impressions]]</f>
        <v>0.21826126954921804</v>
      </c>
      <c r="Q44" s="15">
        <f t="shared" si="1"/>
        <v>2847</v>
      </c>
      <c r="R44" s="16">
        <f>_xlfn.XLOOKUP($O44,'Campaign Data '!$A:$A,'Campaign Data '!$B:$B)</f>
        <v>45667</v>
      </c>
      <c r="S44" s="16">
        <f>_xlfn.XLOOKUP($O44,'Campaign Data '!$A:$A,'Campaign Data '!$C:$C)</f>
        <v>45698</v>
      </c>
      <c r="T44" s="15" t="str">
        <f t="shared" si="2"/>
        <v>Before</v>
      </c>
    </row>
    <row r="45" spans="1:27" ht="15">
      <c r="A45" s="15" t="s">
        <v>137</v>
      </c>
      <c r="B45" s="15" t="s">
        <v>14</v>
      </c>
      <c r="C45" s="16">
        <v>45718</v>
      </c>
      <c r="D45" s="15" t="s">
        <v>50</v>
      </c>
      <c r="E45" s="15" t="s">
        <v>51</v>
      </c>
      <c r="F45" s="15">
        <v>2358</v>
      </c>
      <c r="G45" s="15">
        <v>784</v>
      </c>
      <c r="H45" s="15">
        <v>344</v>
      </c>
      <c r="I45" s="15">
        <v>35370</v>
      </c>
      <c r="J45" s="15">
        <v>34475</v>
      </c>
      <c r="K45" s="15">
        <v>216</v>
      </c>
      <c r="L45" s="15" t="s">
        <v>583</v>
      </c>
      <c r="M45" s="15" t="s">
        <v>585</v>
      </c>
      <c r="N45" s="15" t="str">
        <f t="shared" si="0"/>
        <v>MyntraSale,StyleWithMyntra</v>
      </c>
      <c r="O45" s="15" t="s">
        <v>19</v>
      </c>
      <c r="P45" s="17">
        <f>(Post[[#This Row],[Likes]]+Post[[#This Row],[Shares]]+Post[[#This Row],[Comments]])/Post[[#This Row],[Impressions]]</f>
        <v>9.8558100084817649E-2</v>
      </c>
      <c r="Q45" s="15">
        <f t="shared" si="1"/>
        <v>3486</v>
      </c>
      <c r="R45" s="16">
        <f>_xlfn.XLOOKUP($O45,'Campaign Data '!$A:$A,'Campaign Data '!$B:$B)</f>
        <v>45505</v>
      </c>
      <c r="S45" s="16">
        <f>_xlfn.XLOOKUP($O45,'Campaign Data '!$A:$A,'Campaign Data '!$C:$C)</f>
        <v>45535</v>
      </c>
      <c r="T45" s="15" t="str">
        <f t="shared" si="2"/>
        <v>Before</v>
      </c>
    </row>
    <row r="46" spans="1:27" ht="15">
      <c r="A46" s="15" t="s">
        <v>139</v>
      </c>
      <c r="B46" s="15" t="s">
        <v>41</v>
      </c>
      <c r="C46" s="16">
        <v>45597</v>
      </c>
      <c r="D46" s="15" t="s">
        <v>70</v>
      </c>
      <c r="E46" s="15" t="s">
        <v>71</v>
      </c>
      <c r="F46" s="15">
        <v>3371</v>
      </c>
      <c r="G46" s="15">
        <v>106</v>
      </c>
      <c r="H46" s="15">
        <v>327</v>
      </c>
      <c r="I46" s="15">
        <v>50565</v>
      </c>
      <c r="J46" s="15">
        <v>49816</v>
      </c>
      <c r="K46" s="15">
        <v>176</v>
      </c>
      <c r="L46" s="15" t="s">
        <v>588</v>
      </c>
      <c r="M46" s="15"/>
      <c r="N46" s="15" t="str">
        <f t="shared" si="0"/>
        <v>FashionDeals</v>
      </c>
      <c r="O46" s="15" t="s">
        <v>56</v>
      </c>
      <c r="P46" s="17">
        <f>(Post[[#This Row],[Likes]]+Post[[#This Row],[Shares]]+Post[[#This Row],[Comments]])/Post[[#This Row],[Impressions]]</f>
        <v>7.5229902106199939E-2</v>
      </c>
      <c r="Q46" s="15">
        <f t="shared" si="1"/>
        <v>3804</v>
      </c>
      <c r="R46" s="16">
        <f>_xlfn.XLOOKUP($O46,'Campaign Data '!$A:$A,'Campaign Data '!$B:$B)</f>
        <v>45667</v>
      </c>
      <c r="S46" s="16">
        <f>_xlfn.XLOOKUP($O46,'Campaign Data '!$A:$A,'Campaign Data '!$C:$C)</f>
        <v>45698</v>
      </c>
      <c r="T46" s="15" t="str">
        <f t="shared" si="2"/>
        <v>Before</v>
      </c>
    </row>
    <row r="47" spans="1:27" ht="15">
      <c r="A47" s="15" t="s">
        <v>141</v>
      </c>
      <c r="B47" s="15" t="s">
        <v>14</v>
      </c>
      <c r="C47" s="16">
        <v>45779</v>
      </c>
      <c r="D47" s="15" t="s">
        <v>70</v>
      </c>
      <c r="E47" s="15" t="s">
        <v>71</v>
      </c>
      <c r="F47" s="15">
        <v>1108</v>
      </c>
      <c r="G47" s="15">
        <v>177</v>
      </c>
      <c r="H47" s="15">
        <v>212</v>
      </c>
      <c r="I47" s="15">
        <v>8864</v>
      </c>
      <c r="J47" s="15">
        <v>8710</v>
      </c>
      <c r="K47" s="15">
        <v>97</v>
      </c>
      <c r="L47" s="15" t="s">
        <v>584</v>
      </c>
      <c r="M47" s="15"/>
      <c r="N47" s="15" t="str">
        <f t="shared" si="0"/>
        <v>MyntraFashion</v>
      </c>
      <c r="O47" s="15" t="s">
        <v>56</v>
      </c>
      <c r="P47" s="17">
        <f>(Post[[#This Row],[Likes]]+Post[[#This Row],[Shares]]+Post[[#This Row],[Comments]])/Post[[#This Row],[Impressions]]</f>
        <v>0.16888537906137185</v>
      </c>
      <c r="Q47" s="15">
        <f t="shared" si="1"/>
        <v>1497</v>
      </c>
      <c r="R47" s="16">
        <f>_xlfn.XLOOKUP($O47,'Campaign Data '!$A:$A,'Campaign Data '!$B:$B)</f>
        <v>45667</v>
      </c>
      <c r="S47" s="16">
        <f>_xlfn.XLOOKUP($O47,'Campaign Data '!$A:$A,'Campaign Data '!$C:$C)</f>
        <v>45698</v>
      </c>
      <c r="T47" s="15" t="str">
        <f t="shared" si="2"/>
        <v>Before</v>
      </c>
    </row>
    <row r="48" spans="1:27" ht="15">
      <c r="A48" s="15" t="s">
        <v>143</v>
      </c>
      <c r="B48" s="15" t="s">
        <v>14</v>
      </c>
      <c r="C48" s="16">
        <v>45712</v>
      </c>
      <c r="D48" s="15" t="s">
        <v>43</v>
      </c>
      <c r="E48" s="15" t="s">
        <v>44</v>
      </c>
      <c r="F48" s="15">
        <v>2704</v>
      </c>
      <c r="G48" s="15">
        <v>752</v>
      </c>
      <c r="H48" s="15">
        <v>153</v>
      </c>
      <c r="I48" s="15">
        <v>21632</v>
      </c>
      <c r="J48" s="15">
        <v>20792</v>
      </c>
      <c r="K48" s="15">
        <v>127</v>
      </c>
      <c r="L48" s="15" t="s">
        <v>588</v>
      </c>
      <c r="M48" s="15" t="s">
        <v>584</v>
      </c>
      <c r="N48" s="15" t="str">
        <f t="shared" si="0"/>
        <v>FashionDeals,MyntraFashion</v>
      </c>
      <c r="O48" s="15" t="s">
        <v>19</v>
      </c>
      <c r="P48" s="17">
        <f>(Post[[#This Row],[Likes]]+Post[[#This Row],[Shares]]+Post[[#This Row],[Comments]])/Post[[#This Row],[Impressions]]</f>
        <v>0.16683616863905326</v>
      </c>
      <c r="Q48" s="15">
        <f t="shared" si="1"/>
        <v>3609</v>
      </c>
      <c r="R48" s="16">
        <f>_xlfn.XLOOKUP($O48,'Campaign Data '!$A:$A,'Campaign Data '!$B:$B)</f>
        <v>45505</v>
      </c>
      <c r="S48" s="16">
        <f>_xlfn.XLOOKUP($O48,'Campaign Data '!$A:$A,'Campaign Data '!$C:$C)</f>
        <v>45535</v>
      </c>
      <c r="T48" s="15" t="str">
        <f t="shared" si="2"/>
        <v>Before</v>
      </c>
    </row>
    <row r="49" spans="1:20" ht="15">
      <c r="A49" s="15" t="s">
        <v>146</v>
      </c>
      <c r="B49" s="15" t="s">
        <v>14</v>
      </c>
      <c r="C49" s="16">
        <v>45727</v>
      </c>
      <c r="D49" s="15" t="s">
        <v>33</v>
      </c>
      <c r="E49" s="15" t="s">
        <v>34</v>
      </c>
      <c r="F49" s="15">
        <v>1950</v>
      </c>
      <c r="G49" s="15">
        <v>295</v>
      </c>
      <c r="H49" s="15">
        <v>478</v>
      </c>
      <c r="I49" s="15">
        <v>37050</v>
      </c>
      <c r="J49" s="15">
        <v>36272</v>
      </c>
      <c r="K49" s="15">
        <v>119</v>
      </c>
      <c r="L49" s="15" t="s">
        <v>584</v>
      </c>
      <c r="M49" s="15" t="s">
        <v>585</v>
      </c>
      <c r="N49" s="15" t="str">
        <f t="shared" si="0"/>
        <v>MyntraFashion,StyleWithMyntra</v>
      </c>
      <c r="O49" s="15" t="s">
        <v>56</v>
      </c>
      <c r="P49" s="17">
        <f>(Post[[#This Row],[Likes]]+Post[[#This Row],[Shares]]+Post[[#This Row],[Comments]])/Post[[#This Row],[Impressions]]</f>
        <v>7.349527665317139E-2</v>
      </c>
      <c r="Q49" s="15">
        <f t="shared" si="1"/>
        <v>2723</v>
      </c>
      <c r="R49" s="16">
        <f>_xlfn.XLOOKUP($O49,'Campaign Data '!$A:$A,'Campaign Data '!$B:$B)</f>
        <v>45667</v>
      </c>
      <c r="S49" s="16">
        <f>_xlfn.XLOOKUP($O49,'Campaign Data '!$A:$A,'Campaign Data '!$C:$C)</f>
        <v>45698</v>
      </c>
      <c r="T49" s="15" t="str">
        <f t="shared" si="2"/>
        <v>Before</v>
      </c>
    </row>
    <row r="50" spans="1:20" ht="15">
      <c r="A50" s="15" t="s">
        <v>148</v>
      </c>
      <c r="B50" s="15" t="s">
        <v>14</v>
      </c>
      <c r="C50" s="16">
        <v>45453</v>
      </c>
      <c r="D50" s="15" t="s">
        <v>33</v>
      </c>
      <c r="E50" s="15" t="s">
        <v>34</v>
      </c>
      <c r="F50" s="15">
        <v>2164</v>
      </c>
      <c r="G50" s="15">
        <v>549</v>
      </c>
      <c r="H50" s="15">
        <v>274</v>
      </c>
      <c r="I50" s="15">
        <v>28132</v>
      </c>
      <c r="J50" s="15">
        <v>27361</v>
      </c>
      <c r="K50" s="15">
        <v>177</v>
      </c>
      <c r="L50" s="15" t="s">
        <v>585</v>
      </c>
      <c r="M50" s="15"/>
      <c r="N50" s="15" t="str">
        <f t="shared" si="0"/>
        <v>StyleWithMyntra</v>
      </c>
      <c r="O50" s="15" t="s">
        <v>19</v>
      </c>
      <c r="P50" s="17">
        <f>(Post[[#This Row],[Likes]]+Post[[#This Row],[Shares]]+Post[[#This Row],[Comments]])/Post[[#This Row],[Impressions]]</f>
        <v>0.10617801791554102</v>
      </c>
      <c r="Q50" s="15">
        <f t="shared" si="1"/>
        <v>2987</v>
      </c>
      <c r="R50" s="16">
        <f>_xlfn.XLOOKUP($O50,'Campaign Data '!$A:$A,'Campaign Data '!$B:$B)</f>
        <v>45505</v>
      </c>
      <c r="S50" s="16">
        <f>_xlfn.XLOOKUP($O50,'Campaign Data '!$A:$A,'Campaign Data '!$C:$C)</f>
        <v>45535</v>
      </c>
      <c r="T50" s="15" t="str">
        <f t="shared" si="2"/>
        <v>Before</v>
      </c>
    </row>
    <row r="51" spans="1:20" ht="15">
      <c r="A51" s="15" t="s">
        <v>150</v>
      </c>
      <c r="B51" s="15" t="s">
        <v>27</v>
      </c>
      <c r="C51" s="16">
        <v>45476</v>
      </c>
      <c r="D51" s="15" t="s">
        <v>33</v>
      </c>
      <c r="E51" s="15" t="s">
        <v>34</v>
      </c>
      <c r="F51" s="15">
        <v>2754</v>
      </c>
      <c r="G51" s="15">
        <v>130</v>
      </c>
      <c r="H51" s="15">
        <v>90</v>
      </c>
      <c r="I51" s="15">
        <v>22032</v>
      </c>
      <c r="J51" s="15">
        <v>21288</v>
      </c>
      <c r="K51" s="15">
        <v>112</v>
      </c>
      <c r="L51" s="15" t="s">
        <v>584</v>
      </c>
      <c r="M51" s="15"/>
      <c r="N51" s="15" t="str">
        <f t="shared" si="0"/>
        <v>MyntraFashion</v>
      </c>
      <c r="O51" s="15" t="s">
        <v>19</v>
      </c>
      <c r="P51" s="17">
        <f>(Post[[#This Row],[Likes]]+Post[[#This Row],[Shares]]+Post[[#This Row],[Comments]])/Post[[#This Row],[Impressions]]</f>
        <v>0.13498547567175018</v>
      </c>
      <c r="Q51" s="15">
        <f t="shared" si="1"/>
        <v>2974</v>
      </c>
      <c r="R51" s="16">
        <f>_xlfn.XLOOKUP($O51,'Campaign Data '!$A:$A,'Campaign Data '!$B:$B)</f>
        <v>45505</v>
      </c>
      <c r="S51" s="16">
        <f>_xlfn.XLOOKUP($O51,'Campaign Data '!$A:$A,'Campaign Data '!$C:$C)</f>
        <v>45535</v>
      </c>
      <c r="T51" s="15" t="str">
        <f t="shared" si="2"/>
        <v>Before</v>
      </c>
    </row>
    <row r="52" spans="1:20" ht="15">
      <c r="A52" s="15" t="s">
        <v>152</v>
      </c>
      <c r="B52" s="15" t="s">
        <v>41</v>
      </c>
      <c r="C52" s="16">
        <v>45456</v>
      </c>
      <c r="D52" s="15" t="s">
        <v>43</v>
      </c>
      <c r="E52" s="15" t="s">
        <v>44</v>
      </c>
      <c r="F52" s="15">
        <v>2200</v>
      </c>
      <c r="G52" s="15">
        <v>504</v>
      </c>
      <c r="H52" s="15">
        <v>239</v>
      </c>
      <c r="I52" s="15">
        <v>37400</v>
      </c>
      <c r="J52" s="15">
        <v>36938</v>
      </c>
      <c r="K52" s="15">
        <v>225</v>
      </c>
      <c r="L52" s="15" t="s">
        <v>583</v>
      </c>
      <c r="M52" s="15"/>
      <c r="N52" s="15" t="str">
        <f t="shared" si="0"/>
        <v>MyntraSale</v>
      </c>
      <c r="O52" s="15" t="s">
        <v>39</v>
      </c>
      <c r="P52" s="17">
        <f>(Post[[#This Row],[Likes]]+Post[[#This Row],[Shares]]+Post[[#This Row],[Comments]])/Post[[#This Row],[Impressions]]</f>
        <v>7.8689839572192513E-2</v>
      </c>
      <c r="Q52" s="15">
        <f t="shared" si="1"/>
        <v>2943</v>
      </c>
      <c r="R52" s="16">
        <f>_xlfn.XLOOKUP($O52,'Campaign Data '!$A:$A,'Campaign Data '!$B:$B)</f>
        <v>45570</v>
      </c>
      <c r="S52" s="16">
        <f>_xlfn.XLOOKUP($O52,'Campaign Data '!$A:$A,'Campaign Data '!$C:$C)</f>
        <v>45601</v>
      </c>
      <c r="T52" s="15" t="str">
        <f t="shared" si="2"/>
        <v>Before</v>
      </c>
    </row>
    <row r="53" spans="1:20" ht="15">
      <c r="A53" s="15" t="s">
        <v>154</v>
      </c>
      <c r="B53" s="15" t="s">
        <v>41</v>
      </c>
      <c r="C53" s="16">
        <v>45660</v>
      </c>
      <c r="D53" s="15" t="s">
        <v>50</v>
      </c>
      <c r="E53" s="15" t="s">
        <v>51</v>
      </c>
      <c r="F53" s="15">
        <v>947</v>
      </c>
      <c r="G53" s="15">
        <v>338</v>
      </c>
      <c r="H53" s="15">
        <v>350</v>
      </c>
      <c r="I53" s="15">
        <v>10417</v>
      </c>
      <c r="J53" s="15">
        <v>9730</v>
      </c>
      <c r="K53" s="15">
        <v>34</v>
      </c>
      <c r="L53" s="15" t="s">
        <v>584</v>
      </c>
      <c r="M53" s="15" t="s">
        <v>583</v>
      </c>
      <c r="N53" s="15" t="str">
        <f t="shared" si="0"/>
        <v>MyntraFashion,MyntraSale</v>
      </c>
      <c r="O53" s="15" t="s">
        <v>39</v>
      </c>
      <c r="P53" s="17">
        <f>(Post[[#This Row],[Likes]]+Post[[#This Row],[Shares]]+Post[[#This Row],[Comments]])/Post[[#This Row],[Impressions]]</f>
        <v>0.1569549774407219</v>
      </c>
      <c r="Q53" s="15">
        <f t="shared" si="1"/>
        <v>1635</v>
      </c>
      <c r="R53" s="16">
        <f>_xlfn.XLOOKUP($O53,'Campaign Data '!$A:$A,'Campaign Data '!$B:$B)</f>
        <v>45570</v>
      </c>
      <c r="S53" s="16">
        <f>_xlfn.XLOOKUP($O53,'Campaign Data '!$A:$A,'Campaign Data '!$C:$C)</f>
        <v>45601</v>
      </c>
      <c r="T53" s="15" t="str">
        <f t="shared" si="2"/>
        <v>Before</v>
      </c>
    </row>
    <row r="54" spans="1:20" ht="15">
      <c r="A54" s="15" t="s">
        <v>156</v>
      </c>
      <c r="B54" s="15" t="s">
        <v>27</v>
      </c>
      <c r="C54" s="16">
        <v>45712</v>
      </c>
      <c r="D54" s="15" t="s">
        <v>43</v>
      </c>
      <c r="E54" s="15" t="s">
        <v>44</v>
      </c>
      <c r="F54" s="15">
        <v>804</v>
      </c>
      <c r="G54" s="15">
        <v>639</v>
      </c>
      <c r="H54" s="15">
        <v>43</v>
      </c>
      <c r="I54" s="15">
        <v>4020</v>
      </c>
      <c r="J54" s="15">
        <v>3144</v>
      </c>
      <c r="K54" s="15">
        <v>11</v>
      </c>
      <c r="L54" s="15" t="s">
        <v>585</v>
      </c>
      <c r="M54" s="15" t="s">
        <v>586</v>
      </c>
      <c r="N54" s="15" t="str">
        <f t="shared" si="0"/>
        <v>StyleWithMyntra,MyntraTrend</v>
      </c>
      <c r="O54" s="15" t="s">
        <v>56</v>
      </c>
      <c r="P54" s="17">
        <f>(Post[[#This Row],[Likes]]+Post[[#This Row],[Shares]]+Post[[#This Row],[Comments]])/Post[[#This Row],[Impressions]]</f>
        <v>0.36965174129353234</v>
      </c>
      <c r="Q54" s="15">
        <f t="shared" si="1"/>
        <v>1486</v>
      </c>
      <c r="R54" s="16">
        <f>_xlfn.XLOOKUP($O54,'Campaign Data '!$A:$A,'Campaign Data '!$B:$B)</f>
        <v>45667</v>
      </c>
      <c r="S54" s="16">
        <f>_xlfn.XLOOKUP($O54,'Campaign Data '!$A:$A,'Campaign Data '!$C:$C)</f>
        <v>45698</v>
      </c>
      <c r="T54" s="15" t="str">
        <f t="shared" si="2"/>
        <v>Before</v>
      </c>
    </row>
    <row r="55" spans="1:20" ht="15">
      <c r="A55" s="15" t="s">
        <v>157</v>
      </c>
      <c r="B55" s="15" t="s">
        <v>27</v>
      </c>
      <c r="C55" s="16">
        <v>45729</v>
      </c>
      <c r="D55" s="15" t="s">
        <v>43</v>
      </c>
      <c r="E55" s="15" t="s">
        <v>44</v>
      </c>
      <c r="F55" s="15">
        <v>1686</v>
      </c>
      <c r="G55" s="15">
        <v>904</v>
      </c>
      <c r="H55" s="15">
        <v>472</v>
      </c>
      <c r="I55" s="15">
        <v>18546</v>
      </c>
      <c r="J55" s="15">
        <v>18171</v>
      </c>
      <c r="K55" s="15">
        <v>52</v>
      </c>
      <c r="L55" s="15" t="s">
        <v>584</v>
      </c>
      <c r="M55" s="15" t="s">
        <v>588</v>
      </c>
      <c r="N55" s="15" t="str">
        <f t="shared" si="0"/>
        <v>MyntraFashion,FashionDeals</v>
      </c>
      <c r="O55" s="15" t="s">
        <v>25</v>
      </c>
      <c r="P55" s="17">
        <f>(Post[[#This Row],[Likes]]+Post[[#This Row],[Shares]]+Post[[#This Row],[Comments]])/Post[[#This Row],[Impressions]]</f>
        <v>0.16510298716704411</v>
      </c>
      <c r="Q55" s="15">
        <f t="shared" si="1"/>
        <v>3062</v>
      </c>
      <c r="R55" s="16">
        <f>_xlfn.XLOOKUP($O55,'Campaign Data '!$A:$A,'Campaign Data '!$B:$B)</f>
        <v>45453</v>
      </c>
      <c r="S55" s="16">
        <f>_xlfn.XLOOKUP($O55,'Campaign Data '!$A:$A,'Campaign Data '!$C:$C)</f>
        <v>45478</v>
      </c>
      <c r="T55" s="15" t="str">
        <f t="shared" si="2"/>
        <v>Before</v>
      </c>
    </row>
    <row r="56" spans="1:20" ht="15">
      <c r="A56" s="15" t="s">
        <v>159</v>
      </c>
      <c r="B56" s="15" t="s">
        <v>41</v>
      </c>
      <c r="C56" s="16">
        <v>45460</v>
      </c>
      <c r="D56" s="15" t="s">
        <v>50</v>
      </c>
      <c r="E56" s="15" t="s">
        <v>51</v>
      </c>
      <c r="F56" s="15">
        <v>1226</v>
      </c>
      <c r="G56" s="15">
        <v>119</v>
      </c>
      <c r="H56" s="15">
        <v>7</v>
      </c>
      <c r="I56" s="15">
        <v>14712</v>
      </c>
      <c r="J56" s="15">
        <v>14049</v>
      </c>
      <c r="K56" s="15">
        <v>123</v>
      </c>
      <c r="L56" s="15" t="s">
        <v>583</v>
      </c>
      <c r="M56" s="15" t="s">
        <v>586</v>
      </c>
      <c r="N56" s="15" t="str">
        <f t="shared" si="0"/>
        <v>MyntraSale,MyntraTrend</v>
      </c>
      <c r="O56" s="15" t="s">
        <v>56</v>
      </c>
      <c r="P56" s="17">
        <f>(Post[[#This Row],[Likes]]+Post[[#This Row],[Shares]]+Post[[#This Row],[Comments]])/Post[[#This Row],[Impressions]]</f>
        <v>9.1897770527460579E-2</v>
      </c>
      <c r="Q56" s="15">
        <f t="shared" si="1"/>
        <v>1352</v>
      </c>
      <c r="R56" s="16">
        <f>_xlfn.XLOOKUP($O56,'Campaign Data '!$A:$A,'Campaign Data '!$B:$B)</f>
        <v>45667</v>
      </c>
      <c r="S56" s="16">
        <f>_xlfn.XLOOKUP($O56,'Campaign Data '!$A:$A,'Campaign Data '!$C:$C)</f>
        <v>45698</v>
      </c>
      <c r="T56" s="15" t="str">
        <f t="shared" si="2"/>
        <v>Before</v>
      </c>
    </row>
    <row r="57" spans="1:20" ht="15">
      <c r="A57" s="15" t="s">
        <v>161</v>
      </c>
      <c r="B57" s="15" t="s">
        <v>41</v>
      </c>
      <c r="C57" s="16">
        <v>45644</v>
      </c>
      <c r="D57" s="15" t="s">
        <v>43</v>
      </c>
      <c r="E57" s="15" t="s">
        <v>44</v>
      </c>
      <c r="F57" s="15">
        <v>2946</v>
      </c>
      <c r="G57" s="15">
        <v>498</v>
      </c>
      <c r="H57" s="15">
        <v>367</v>
      </c>
      <c r="I57" s="15">
        <v>29460</v>
      </c>
      <c r="J57" s="15">
        <v>28527</v>
      </c>
      <c r="K57" s="15">
        <v>60</v>
      </c>
      <c r="L57" s="15" t="s">
        <v>585</v>
      </c>
      <c r="M57" s="15" t="s">
        <v>588</v>
      </c>
      <c r="N57" s="15" t="str">
        <f t="shared" si="0"/>
        <v>StyleWithMyntra,FashionDeals</v>
      </c>
      <c r="O57" s="15" t="s">
        <v>25</v>
      </c>
      <c r="P57" s="17">
        <f>(Post[[#This Row],[Likes]]+Post[[#This Row],[Shares]]+Post[[#This Row],[Comments]])/Post[[#This Row],[Impressions]]</f>
        <v>0.12936184657162253</v>
      </c>
      <c r="Q57" s="15">
        <f t="shared" si="1"/>
        <v>3811</v>
      </c>
      <c r="R57" s="16">
        <f>_xlfn.XLOOKUP($O57,'Campaign Data '!$A:$A,'Campaign Data '!$B:$B)</f>
        <v>45453</v>
      </c>
      <c r="S57" s="16">
        <f>_xlfn.XLOOKUP($O57,'Campaign Data '!$A:$A,'Campaign Data '!$C:$C)</f>
        <v>45478</v>
      </c>
      <c r="T57" s="15" t="str">
        <f t="shared" si="2"/>
        <v>Before</v>
      </c>
    </row>
    <row r="58" spans="1:20" ht="15">
      <c r="A58" s="15" t="s">
        <v>164</v>
      </c>
      <c r="B58" s="15" t="s">
        <v>14</v>
      </c>
      <c r="C58" s="16">
        <v>45586</v>
      </c>
      <c r="D58" s="15" t="s">
        <v>70</v>
      </c>
      <c r="E58" s="15" t="s">
        <v>71</v>
      </c>
      <c r="F58" s="15">
        <v>2825</v>
      </c>
      <c r="G58" s="15">
        <v>535</v>
      </c>
      <c r="H58" s="15">
        <v>295</v>
      </c>
      <c r="I58" s="15">
        <v>45200</v>
      </c>
      <c r="J58" s="15">
        <v>44739</v>
      </c>
      <c r="K58" s="15">
        <v>169</v>
      </c>
      <c r="L58" s="15" t="s">
        <v>585</v>
      </c>
      <c r="M58" s="15"/>
      <c r="N58" s="15" t="str">
        <f t="shared" si="0"/>
        <v>StyleWithMyntra</v>
      </c>
      <c r="O58" s="15" t="s">
        <v>25</v>
      </c>
      <c r="P58" s="17">
        <f>(Post[[#This Row],[Likes]]+Post[[#This Row],[Shares]]+Post[[#This Row],[Comments]])/Post[[#This Row],[Impressions]]</f>
        <v>8.0862831858407078E-2</v>
      </c>
      <c r="Q58" s="15">
        <f t="shared" si="1"/>
        <v>3655</v>
      </c>
      <c r="R58" s="16">
        <f>_xlfn.XLOOKUP($O58,'Campaign Data '!$A:$A,'Campaign Data '!$B:$B)</f>
        <v>45453</v>
      </c>
      <c r="S58" s="16">
        <f>_xlfn.XLOOKUP($O58,'Campaign Data '!$A:$A,'Campaign Data '!$C:$C)</f>
        <v>45478</v>
      </c>
      <c r="T58" s="15" t="str">
        <f t="shared" si="2"/>
        <v>Before</v>
      </c>
    </row>
    <row r="59" spans="1:20" ht="15">
      <c r="A59" s="15" t="s">
        <v>166</v>
      </c>
      <c r="B59" s="15" t="s">
        <v>31</v>
      </c>
      <c r="C59" s="16">
        <v>45762</v>
      </c>
      <c r="D59" s="15" t="s">
        <v>16</v>
      </c>
      <c r="E59" s="15" t="s">
        <v>17</v>
      </c>
      <c r="F59" s="15">
        <v>103</v>
      </c>
      <c r="G59" s="15">
        <v>770</v>
      </c>
      <c r="H59" s="15">
        <v>19</v>
      </c>
      <c r="I59" s="15">
        <v>1030</v>
      </c>
      <c r="J59" s="15">
        <v>410</v>
      </c>
      <c r="K59" s="15">
        <v>262</v>
      </c>
      <c r="L59" s="15" t="s">
        <v>583</v>
      </c>
      <c r="M59" s="15"/>
      <c r="N59" s="15" t="str">
        <f t="shared" si="0"/>
        <v>MyntraSale</v>
      </c>
      <c r="O59" s="15" t="s">
        <v>39</v>
      </c>
      <c r="P59" s="17">
        <f>(Post[[#This Row],[Likes]]+Post[[#This Row],[Shares]]+Post[[#This Row],[Comments]])/Post[[#This Row],[Impressions]]</f>
        <v>0.86601941747572819</v>
      </c>
      <c r="Q59" s="15">
        <f t="shared" si="1"/>
        <v>892</v>
      </c>
      <c r="R59" s="16">
        <f>_xlfn.XLOOKUP($O59,'Campaign Data '!$A:$A,'Campaign Data '!$B:$B)</f>
        <v>45570</v>
      </c>
      <c r="S59" s="16">
        <f>_xlfn.XLOOKUP($O59,'Campaign Data '!$A:$A,'Campaign Data '!$C:$C)</f>
        <v>45601</v>
      </c>
      <c r="T59" s="15" t="str">
        <f t="shared" si="2"/>
        <v>Before</v>
      </c>
    </row>
    <row r="60" spans="1:20" ht="15">
      <c r="A60" s="15" t="s">
        <v>168</v>
      </c>
      <c r="B60" s="15" t="s">
        <v>31</v>
      </c>
      <c r="C60" s="16">
        <v>45465</v>
      </c>
      <c r="D60" s="15" t="s">
        <v>22</v>
      </c>
      <c r="E60" s="15" t="s">
        <v>23</v>
      </c>
      <c r="F60" s="15">
        <v>2180</v>
      </c>
      <c r="G60" s="15">
        <v>263</v>
      </c>
      <c r="H60" s="15">
        <v>387</v>
      </c>
      <c r="I60" s="15">
        <v>30520</v>
      </c>
      <c r="J60" s="15">
        <v>30059</v>
      </c>
      <c r="K60" s="15">
        <v>174</v>
      </c>
      <c r="L60" s="15" t="s">
        <v>588</v>
      </c>
      <c r="M60" s="15"/>
      <c r="N60" s="15" t="str">
        <f t="shared" si="0"/>
        <v>FashionDeals</v>
      </c>
      <c r="O60" s="15" t="s">
        <v>19</v>
      </c>
      <c r="P60" s="17">
        <f>(Post[[#This Row],[Likes]]+Post[[#This Row],[Shares]]+Post[[#This Row],[Comments]])/Post[[#This Row],[Impressions]]</f>
        <v>9.2726081258191345E-2</v>
      </c>
      <c r="Q60" s="15">
        <f t="shared" si="1"/>
        <v>2830</v>
      </c>
      <c r="R60" s="16">
        <f>_xlfn.XLOOKUP($O60,'Campaign Data '!$A:$A,'Campaign Data '!$B:$B)</f>
        <v>45505</v>
      </c>
      <c r="S60" s="16">
        <f>_xlfn.XLOOKUP($O60,'Campaign Data '!$A:$A,'Campaign Data '!$C:$C)</f>
        <v>45535</v>
      </c>
      <c r="T60" s="15" t="str">
        <f t="shared" si="2"/>
        <v>Before</v>
      </c>
    </row>
    <row r="61" spans="1:20" ht="15">
      <c r="A61" s="15" t="s">
        <v>170</v>
      </c>
      <c r="B61" s="15" t="s">
        <v>31</v>
      </c>
      <c r="C61" s="16">
        <v>45685</v>
      </c>
      <c r="D61" s="15" t="s">
        <v>70</v>
      </c>
      <c r="E61" s="15" t="s">
        <v>71</v>
      </c>
      <c r="F61" s="15">
        <v>904</v>
      </c>
      <c r="G61" s="15">
        <v>973</v>
      </c>
      <c r="H61" s="15">
        <v>63</v>
      </c>
      <c r="I61" s="15">
        <v>11752</v>
      </c>
      <c r="J61" s="15">
        <v>11580</v>
      </c>
      <c r="K61" s="15">
        <v>84</v>
      </c>
      <c r="L61" s="15" t="s">
        <v>585</v>
      </c>
      <c r="M61" s="15"/>
      <c r="N61" s="15" t="str">
        <f t="shared" si="0"/>
        <v>StyleWithMyntra</v>
      </c>
      <c r="O61" s="15" t="s">
        <v>19</v>
      </c>
      <c r="P61" s="17">
        <f>(Post[[#This Row],[Likes]]+Post[[#This Row],[Shares]]+Post[[#This Row],[Comments]])/Post[[#This Row],[Impressions]]</f>
        <v>0.1650782845473111</v>
      </c>
      <c r="Q61" s="15">
        <f t="shared" si="1"/>
        <v>1940</v>
      </c>
      <c r="R61" s="16">
        <f>_xlfn.XLOOKUP($O61,'Campaign Data '!$A:$A,'Campaign Data '!$B:$B)</f>
        <v>45505</v>
      </c>
      <c r="S61" s="16">
        <f>_xlfn.XLOOKUP($O61,'Campaign Data '!$A:$A,'Campaign Data '!$C:$C)</f>
        <v>45535</v>
      </c>
      <c r="T61" s="15" t="str">
        <f t="shared" si="2"/>
        <v>Before</v>
      </c>
    </row>
    <row r="62" spans="1:20" ht="15">
      <c r="A62" s="15" t="s">
        <v>172</v>
      </c>
      <c r="B62" s="15" t="s">
        <v>14</v>
      </c>
      <c r="C62" s="16">
        <v>45540</v>
      </c>
      <c r="D62" s="15" t="s">
        <v>70</v>
      </c>
      <c r="E62" s="15" t="s">
        <v>71</v>
      </c>
      <c r="F62" s="15">
        <v>4886</v>
      </c>
      <c r="G62" s="15">
        <v>983</v>
      </c>
      <c r="H62" s="15">
        <v>409</v>
      </c>
      <c r="I62" s="15">
        <v>43974</v>
      </c>
      <c r="J62" s="15">
        <v>43239</v>
      </c>
      <c r="K62" s="15">
        <v>65</v>
      </c>
      <c r="L62" s="15" t="s">
        <v>584</v>
      </c>
      <c r="M62" s="15"/>
      <c r="N62" s="15" t="str">
        <f t="shared" si="0"/>
        <v>MyntraFashion</v>
      </c>
      <c r="O62" s="15" t="s">
        <v>19</v>
      </c>
      <c r="P62" s="17">
        <f>(Post[[#This Row],[Likes]]+Post[[#This Row],[Shares]]+Post[[#This Row],[Comments]])/Post[[#This Row],[Impressions]]</f>
        <v>0.14276618001546368</v>
      </c>
      <c r="Q62" s="15">
        <f t="shared" si="1"/>
        <v>6278</v>
      </c>
      <c r="R62" s="16">
        <f>_xlfn.XLOOKUP($O62,'Campaign Data '!$A:$A,'Campaign Data '!$B:$B)</f>
        <v>45505</v>
      </c>
      <c r="S62" s="16">
        <f>_xlfn.XLOOKUP($O62,'Campaign Data '!$A:$A,'Campaign Data '!$C:$C)</f>
        <v>45535</v>
      </c>
      <c r="T62" s="15" t="str">
        <f t="shared" si="2"/>
        <v>Before</v>
      </c>
    </row>
    <row r="63" spans="1:20" ht="15">
      <c r="A63" s="15" t="s">
        <v>174</v>
      </c>
      <c r="B63" s="15" t="s">
        <v>14</v>
      </c>
      <c r="C63" s="16">
        <v>45618</v>
      </c>
      <c r="D63" s="15" t="s">
        <v>43</v>
      </c>
      <c r="E63" s="15" t="s">
        <v>44</v>
      </c>
      <c r="F63" s="15">
        <v>53</v>
      </c>
      <c r="G63" s="15">
        <v>81</v>
      </c>
      <c r="H63" s="15">
        <v>379</v>
      </c>
      <c r="I63" s="15">
        <v>954</v>
      </c>
      <c r="J63" s="15">
        <v>7</v>
      </c>
      <c r="K63" s="15">
        <v>148</v>
      </c>
      <c r="L63" s="15" t="s">
        <v>588</v>
      </c>
      <c r="M63" s="15"/>
      <c r="N63" s="15" t="str">
        <f t="shared" si="0"/>
        <v>FashionDeals</v>
      </c>
      <c r="O63" s="15" t="s">
        <v>39</v>
      </c>
      <c r="P63" s="17">
        <f>(Post[[#This Row],[Likes]]+Post[[#This Row],[Shares]]+Post[[#This Row],[Comments]])/Post[[#This Row],[Impressions]]</f>
        <v>0.53773584905660377</v>
      </c>
      <c r="Q63" s="15">
        <f t="shared" si="1"/>
        <v>513</v>
      </c>
      <c r="R63" s="16">
        <f>_xlfn.XLOOKUP($O63,'Campaign Data '!$A:$A,'Campaign Data '!$B:$B)</f>
        <v>45570</v>
      </c>
      <c r="S63" s="16">
        <f>_xlfn.XLOOKUP($O63,'Campaign Data '!$A:$A,'Campaign Data '!$C:$C)</f>
        <v>45601</v>
      </c>
      <c r="T63" s="15" t="str">
        <f t="shared" si="2"/>
        <v>Before</v>
      </c>
    </row>
    <row r="64" spans="1:20" ht="15">
      <c r="A64" s="15" t="s">
        <v>176</v>
      </c>
      <c r="B64" s="15" t="s">
        <v>14</v>
      </c>
      <c r="C64" s="16">
        <v>45504</v>
      </c>
      <c r="D64" s="15" t="s">
        <v>43</v>
      </c>
      <c r="E64" s="15" t="s">
        <v>44</v>
      </c>
      <c r="F64" s="15">
        <v>4507</v>
      </c>
      <c r="G64" s="15">
        <v>217</v>
      </c>
      <c r="H64" s="15">
        <v>13</v>
      </c>
      <c r="I64" s="15">
        <v>90140</v>
      </c>
      <c r="J64" s="15">
        <v>89591</v>
      </c>
      <c r="K64" s="15">
        <v>125</v>
      </c>
      <c r="L64" s="15" t="s">
        <v>583</v>
      </c>
      <c r="M64" s="15"/>
      <c r="N64" s="15" t="str">
        <f t="shared" si="0"/>
        <v>MyntraSale</v>
      </c>
      <c r="O64" s="15" t="s">
        <v>19</v>
      </c>
      <c r="P64" s="17">
        <f>(Post[[#This Row],[Likes]]+Post[[#This Row],[Shares]]+Post[[#This Row],[Comments]])/Post[[#This Row],[Impressions]]</f>
        <v>5.2551586421122697E-2</v>
      </c>
      <c r="Q64" s="15">
        <f t="shared" si="1"/>
        <v>4737</v>
      </c>
      <c r="R64" s="16">
        <f>_xlfn.XLOOKUP($O64,'Campaign Data '!$A:$A,'Campaign Data '!$B:$B)</f>
        <v>45505</v>
      </c>
      <c r="S64" s="16">
        <f>_xlfn.XLOOKUP($O64,'Campaign Data '!$A:$A,'Campaign Data '!$C:$C)</f>
        <v>45535</v>
      </c>
      <c r="T64" s="15" t="str">
        <f t="shared" si="2"/>
        <v>Before</v>
      </c>
    </row>
    <row r="65" spans="1:20" ht="15">
      <c r="A65" s="15" t="s">
        <v>177</v>
      </c>
      <c r="B65" s="15" t="s">
        <v>41</v>
      </c>
      <c r="C65" s="16">
        <v>45521</v>
      </c>
      <c r="D65" s="15" t="s">
        <v>50</v>
      </c>
      <c r="E65" s="15" t="s">
        <v>51</v>
      </c>
      <c r="F65" s="15">
        <v>2878</v>
      </c>
      <c r="G65" s="15">
        <v>248</v>
      </c>
      <c r="H65" s="15">
        <v>416</v>
      </c>
      <c r="I65" s="15">
        <v>43170</v>
      </c>
      <c r="J65" s="15">
        <v>42667</v>
      </c>
      <c r="K65" s="15">
        <v>75</v>
      </c>
      <c r="L65" s="15" t="s">
        <v>588</v>
      </c>
      <c r="M65" s="15" t="s">
        <v>586</v>
      </c>
      <c r="N65" s="15" t="str">
        <f t="shared" si="0"/>
        <v>FashionDeals,MyntraTrend</v>
      </c>
      <c r="O65" s="15" t="s">
        <v>25</v>
      </c>
      <c r="P65" s="17">
        <f>(Post[[#This Row],[Likes]]+Post[[#This Row],[Shares]]+Post[[#This Row],[Comments]])/Post[[#This Row],[Impressions]]</f>
        <v>8.2047718322909427E-2</v>
      </c>
      <c r="Q65" s="15">
        <f t="shared" si="1"/>
        <v>3542</v>
      </c>
      <c r="R65" s="16">
        <f>_xlfn.XLOOKUP($O65,'Campaign Data '!$A:$A,'Campaign Data '!$B:$B)</f>
        <v>45453</v>
      </c>
      <c r="S65" s="16">
        <f>_xlfn.XLOOKUP($O65,'Campaign Data '!$A:$A,'Campaign Data '!$C:$C)</f>
        <v>45478</v>
      </c>
      <c r="T65" s="15" t="str">
        <f t="shared" si="2"/>
        <v>Before</v>
      </c>
    </row>
    <row r="66" spans="1:20" ht="15">
      <c r="A66" s="15" t="s">
        <v>180</v>
      </c>
      <c r="B66" s="15" t="s">
        <v>31</v>
      </c>
      <c r="C66" s="16">
        <v>45744</v>
      </c>
      <c r="D66" s="15" t="s">
        <v>33</v>
      </c>
      <c r="E66" s="15" t="s">
        <v>34</v>
      </c>
      <c r="F66" s="15">
        <v>1881</v>
      </c>
      <c r="G66" s="15">
        <v>501</v>
      </c>
      <c r="H66" s="15">
        <v>99</v>
      </c>
      <c r="I66" s="15">
        <v>20691</v>
      </c>
      <c r="J66" s="15">
        <v>19987</v>
      </c>
      <c r="K66" s="15">
        <v>289</v>
      </c>
      <c r="L66" s="15" t="s">
        <v>588</v>
      </c>
      <c r="M66" s="15"/>
      <c r="N66" s="15" t="str">
        <f t="shared" ref="N66:N129" si="3">_xlfn.TEXTJOIN(",",TRUE,L66,M66)</f>
        <v>FashionDeals</v>
      </c>
      <c r="O66" s="15" t="s">
        <v>25</v>
      </c>
      <c r="P66" s="17">
        <f>(Post[[#This Row],[Likes]]+Post[[#This Row],[Shares]]+Post[[#This Row],[Comments]])/Post[[#This Row],[Impressions]]</f>
        <v>0.11990720603160794</v>
      </c>
      <c r="Q66" s="15">
        <f t="shared" si="1"/>
        <v>2481</v>
      </c>
      <c r="R66" s="16">
        <f>_xlfn.XLOOKUP($O66,'Campaign Data '!$A:$A,'Campaign Data '!$B:$B)</f>
        <v>45453</v>
      </c>
      <c r="S66" s="16">
        <f>_xlfn.XLOOKUP($O66,'Campaign Data '!$A:$A,'Campaign Data '!$C:$C)</f>
        <v>45478</v>
      </c>
      <c r="T66" s="15" t="str">
        <f t="shared" ref="T66:T129" si="4">+IF(AND($C66&gt;=$R66,$C66&lt;=$S66),"During","Before")</f>
        <v>Before</v>
      </c>
    </row>
    <row r="67" spans="1:20" ht="15">
      <c r="A67" s="15" t="s">
        <v>182</v>
      </c>
      <c r="B67" s="15" t="s">
        <v>14</v>
      </c>
      <c r="C67" s="16">
        <v>45499</v>
      </c>
      <c r="D67" s="15" t="s">
        <v>43</v>
      </c>
      <c r="E67" s="15" t="s">
        <v>44</v>
      </c>
      <c r="F67" s="15">
        <v>432</v>
      </c>
      <c r="G67" s="15">
        <v>171</v>
      </c>
      <c r="H67" s="15">
        <v>280</v>
      </c>
      <c r="I67" s="15">
        <v>3024</v>
      </c>
      <c r="J67" s="15">
        <v>2285</v>
      </c>
      <c r="K67" s="15">
        <v>184</v>
      </c>
      <c r="L67" s="15" t="s">
        <v>584</v>
      </c>
      <c r="M67" s="15"/>
      <c r="N67" s="15" t="str">
        <f t="shared" si="3"/>
        <v>MyntraFashion</v>
      </c>
      <c r="O67" s="15" t="s">
        <v>39</v>
      </c>
      <c r="P67" s="17">
        <f>(Post[[#This Row],[Likes]]+Post[[#This Row],[Shares]]+Post[[#This Row],[Comments]])/Post[[#This Row],[Impressions]]</f>
        <v>0.29199735449735448</v>
      </c>
      <c r="Q67" s="15">
        <f t="shared" ref="Q67:Q130" si="5">F67+G67+H67</f>
        <v>883</v>
      </c>
      <c r="R67" s="16">
        <f>_xlfn.XLOOKUP($O67,'Campaign Data '!$A:$A,'Campaign Data '!$B:$B)</f>
        <v>45570</v>
      </c>
      <c r="S67" s="16">
        <f>_xlfn.XLOOKUP($O67,'Campaign Data '!$A:$A,'Campaign Data '!$C:$C)</f>
        <v>45601</v>
      </c>
      <c r="T67" s="15" t="str">
        <f t="shared" si="4"/>
        <v>Before</v>
      </c>
    </row>
    <row r="68" spans="1:20" ht="15">
      <c r="A68" s="15" t="s">
        <v>184</v>
      </c>
      <c r="B68" s="15" t="s">
        <v>41</v>
      </c>
      <c r="C68" s="16">
        <v>45745</v>
      </c>
      <c r="D68" s="15" t="s">
        <v>43</v>
      </c>
      <c r="E68" s="15" t="s">
        <v>44</v>
      </c>
      <c r="F68" s="15">
        <v>4712</v>
      </c>
      <c r="G68" s="15">
        <v>568</v>
      </c>
      <c r="H68" s="15">
        <v>127</v>
      </c>
      <c r="I68" s="15">
        <v>84816</v>
      </c>
      <c r="J68" s="15">
        <v>84691</v>
      </c>
      <c r="K68" s="15">
        <v>100</v>
      </c>
      <c r="L68" s="15" t="s">
        <v>588</v>
      </c>
      <c r="M68" s="15"/>
      <c r="N68" s="15" t="str">
        <f t="shared" si="3"/>
        <v>FashionDeals</v>
      </c>
      <c r="O68" s="15" t="s">
        <v>19</v>
      </c>
      <c r="P68" s="17">
        <f>(Post[[#This Row],[Likes]]+Post[[#This Row],[Shares]]+Post[[#This Row],[Comments]])/Post[[#This Row],[Impressions]]</f>
        <v>6.3749764195434822E-2</v>
      </c>
      <c r="Q68" s="15">
        <f t="shared" si="5"/>
        <v>5407</v>
      </c>
      <c r="R68" s="16">
        <f>_xlfn.XLOOKUP($O68,'Campaign Data '!$A:$A,'Campaign Data '!$B:$B)</f>
        <v>45505</v>
      </c>
      <c r="S68" s="16">
        <f>_xlfn.XLOOKUP($O68,'Campaign Data '!$A:$A,'Campaign Data '!$C:$C)</f>
        <v>45535</v>
      </c>
      <c r="T68" s="15" t="str">
        <f t="shared" si="4"/>
        <v>Before</v>
      </c>
    </row>
    <row r="69" spans="1:20" ht="15">
      <c r="A69" s="15" t="s">
        <v>186</v>
      </c>
      <c r="B69" s="15" t="s">
        <v>31</v>
      </c>
      <c r="C69" s="16">
        <v>45634</v>
      </c>
      <c r="D69" s="15" t="s">
        <v>33</v>
      </c>
      <c r="E69" s="15" t="s">
        <v>34</v>
      </c>
      <c r="F69" s="15">
        <v>2610</v>
      </c>
      <c r="G69" s="15">
        <v>126</v>
      </c>
      <c r="H69" s="15">
        <v>288</v>
      </c>
      <c r="I69" s="15">
        <v>15660</v>
      </c>
      <c r="J69" s="15">
        <v>15145</v>
      </c>
      <c r="K69" s="15">
        <v>73</v>
      </c>
      <c r="L69" s="15" t="s">
        <v>584</v>
      </c>
      <c r="M69" s="15"/>
      <c r="N69" s="15" t="str">
        <f t="shared" si="3"/>
        <v>MyntraFashion</v>
      </c>
      <c r="O69" s="15" t="s">
        <v>19</v>
      </c>
      <c r="P69" s="17">
        <f>(Post[[#This Row],[Likes]]+Post[[#This Row],[Shares]]+Post[[#This Row],[Comments]])/Post[[#This Row],[Impressions]]</f>
        <v>0.19310344827586207</v>
      </c>
      <c r="Q69" s="15">
        <f t="shared" si="5"/>
        <v>3024</v>
      </c>
      <c r="R69" s="16">
        <f>_xlfn.XLOOKUP($O69,'Campaign Data '!$A:$A,'Campaign Data '!$B:$B)</f>
        <v>45505</v>
      </c>
      <c r="S69" s="16">
        <f>_xlfn.XLOOKUP($O69,'Campaign Data '!$A:$A,'Campaign Data '!$C:$C)</f>
        <v>45535</v>
      </c>
      <c r="T69" s="15" t="str">
        <f t="shared" si="4"/>
        <v>Before</v>
      </c>
    </row>
    <row r="70" spans="1:20" ht="15">
      <c r="A70" s="15" t="s">
        <v>188</v>
      </c>
      <c r="B70" s="15" t="s">
        <v>14</v>
      </c>
      <c r="C70" s="16">
        <v>45724</v>
      </c>
      <c r="D70" s="15" t="s">
        <v>22</v>
      </c>
      <c r="E70" s="15" t="s">
        <v>23</v>
      </c>
      <c r="F70" s="15">
        <v>1292</v>
      </c>
      <c r="G70" s="15">
        <v>626</v>
      </c>
      <c r="H70" s="15">
        <v>496</v>
      </c>
      <c r="I70" s="15">
        <v>25840</v>
      </c>
      <c r="J70" s="15">
        <v>24916</v>
      </c>
      <c r="K70" s="15">
        <v>149</v>
      </c>
      <c r="L70" s="15" t="s">
        <v>585</v>
      </c>
      <c r="M70" s="15" t="s">
        <v>586</v>
      </c>
      <c r="N70" s="15" t="str">
        <f t="shared" si="3"/>
        <v>StyleWithMyntra,MyntraTrend</v>
      </c>
      <c r="O70" s="15" t="s">
        <v>56</v>
      </c>
      <c r="P70" s="17">
        <f>(Post[[#This Row],[Likes]]+Post[[#This Row],[Shares]]+Post[[#This Row],[Comments]])/Post[[#This Row],[Impressions]]</f>
        <v>9.3421052631578946E-2</v>
      </c>
      <c r="Q70" s="15">
        <f t="shared" si="5"/>
        <v>2414</v>
      </c>
      <c r="R70" s="16">
        <f>_xlfn.XLOOKUP($O70,'Campaign Data '!$A:$A,'Campaign Data '!$B:$B)</f>
        <v>45667</v>
      </c>
      <c r="S70" s="16">
        <f>_xlfn.XLOOKUP($O70,'Campaign Data '!$A:$A,'Campaign Data '!$C:$C)</f>
        <v>45698</v>
      </c>
      <c r="T70" s="15" t="str">
        <f t="shared" si="4"/>
        <v>Before</v>
      </c>
    </row>
    <row r="71" spans="1:20" ht="15">
      <c r="A71" s="15" t="s">
        <v>189</v>
      </c>
      <c r="B71" s="15" t="s">
        <v>41</v>
      </c>
      <c r="C71" s="16">
        <v>45749</v>
      </c>
      <c r="D71" s="15" t="s">
        <v>70</v>
      </c>
      <c r="E71" s="15" t="s">
        <v>71</v>
      </c>
      <c r="F71" s="15">
        <v>199</v>
      </c>
      <c r="G71" s="15">
        <v>772</v>
      </c>
      <c r="H71" s="15">
        <v>400</v>
      </c>
      <c r="I71" s="15">
        <v>3582</v>
      </c>
      <c r="J71" s="15">
        <v>2988</v>
      </c>
      <c r="K71" s="15">
        <v>43</v>
      </c>
      <c r="L71" s="15" t="s">
        <v>586</v>
      </c>
      <c r="M71" s="15"/>
      <c r="N71" s="15" t="str">
        <f t="shared" si="3"/>
        <v>MyntraTrend</v>
      </c>
      <c r="O71" s="15" t="s">
        <v>19</v>
      </c>
      <c r="P71" s="17">
        <f>(Post[[#This Row],[Likes]]+Post[[#This Row],[Shares]]+Post[[#This Row],[Comments]])/Post[[#This Row],[Impressions]]</f>
        <v>0.38274706867671693</v>
      </c>
      <c r="Q71" s="15">
        <f t="shared" si="5"/>
        <v>1371</v>
      </c>
      <c r="R71" s="16">
        <f>_xlfn.XLOOKUP($O71,'Campaign Data '!$A:$A,'Campaign Data '!$B:$B)</f>
        <v>45505</v>
      </c>
      <c r="S71" s="16">
        <f>_xlfn.XLOOKUP($O71,'Campaign Data '!$A:$A,'Campaign Data '!$C:$C)</f>
        <v>45535</v>
      </c>
      <c r="T71" s="15" t="str">
        <f t="shared" si="4"/>
        <v>Before</v>
      </c>
    </row>
    <row r="72" spans="1:20" ht="15">
      <c r="A72" s="15" t="s">
        <v>191</v>
      </c>
      <c r="B72" s="15" t="s">
        <v>27</v>
      </c>
      <c r="C72" s="16">
        <v>45537</v>
      </c>
      <c r="D72" s="15" t="s">
        <v>43</v>
      </c>
      <c r="E72" s="15" t="s">
        <v>44</v>
      </c>
      <c r="F72" s="15">
        <v>2551</v>
      </c>
      <c r="G72" s="15">
        <v>915</v>
      </c>
      <c r="H72" s="15">
        <v>205</v>
      </c>
      <c r="I72" s="15">
        <v>30612</v>
      </c>
      <c r="J72" s="15">
        <v>30360</v>
      </c>
      <c r="K72" s="15">
        <v>227</v>
      </c>
      <c r="L72" s="15" t="s">
        <v>583</v>
      </c>
      <c r="M72" s="15" t="s">
        <v>588</v>
      </c>
      <c r="N72" s="15" t="str">
        <f t="shared" si="3"/>
        <v>MyntraSale,FashionDeals</v>
      </c>
      <c r="O72" s="15" t="s">
        <v>25</v>
      </c>
      <c r="P72" s="17">
        <f>(Post[[#This Row],[Likes]]+Post[[#This Row],[Shares]]+Post[[#This Row],[Comments]])/Post[[#This Row],[Impressions]]</f>
        <v>0.1199202926956749</v>
      </c>
      <c r="Q72" s="15">
        <f t="shared" si="5"/>
        <v>3671</v>
      </c>
      <c r="R72" s="16">
        <f>_xlfn.XLOOKUP($O72,'Campaign Data '!$A:$A,'Campaign Data '!$B:$B)</f>
        <v>45453</v>
      </c>
      <c r="S72" s="16">
        <f>_xlfn.XLOOKUP($O72,'Campaign Data '!$A:$A,'Campaign Data '!$C:$C)</f>
        <v>45478</v>
      </c>
      <c r="T72" s="15" t="str">
        <f t="shared" si="4"/>
        <v>Before</v>
      </c>
    </row>
    <row r="73" spans="1:20" ht="15">
      <c r="A73" s="15" t="s">
        <v>193</v>
      </c>
      <c r="B73" s="15" t="s">
        <v>27</v>
      </c>
      <c r="C73" s="16">
        <v>45719</v>
      </c>
      <c r="D73" s="15" t="s">
        <v>16</v>
      </c>
      <c r="E73" s="15" t="s">
        <v>17</v>
      </c>
      <c r="F73" s="15">
        <v>296</v>
      </c>
      <c r="G73" s="15">
        <v>60</v>
      </c>
      <c r="H73" s="15">
        <v>141</v>
      </c>
      <c r="I73" s="15">
        <v>5624</v>
      </c>
      <c r="J73" s="15">
        <v>5239</v>
      </c>
      <c r="K73" s="15">
        <v>88</v>
      </c>
      <c r="L73" s="15" t="s">
        <v>586</v>
      </c>
      <c r="M73" s="15"/>
      <c r="N73" s="15" t="str">
        <f t="shared" si="3"/>
        <v>MyntraTrend</v>
      </c>
      <c r="O73" s="15" t="s">
        <v>56</v>
      </c>
      <c r="P73" s="17">
        <f>(Post[[#This Row],[Likes]]+Post[[#This Row],[Shares]]+Post[[#This Row],[Comments]])/Post[[#This Row],[Impressions]]</f>
        <v>8.837126600284495E-2</v>
      </c>
      <c r="Q73" s="15">
        <f t="shared" si="5"/>
        <v>497</v>
      </c>
      <c r="R73" s="16">
        <f>_xlfn.XLOOKUP($O73,'Campaign Data '!$A:$A,'Campaign Data '!$B:$B)</f>
        <v>45667</v>
      </c>
      <c r="S73" s="16">
        <f>_xlfn.XLOOKUP($O73,'Campaign Data '!$A:$A,'Campaign Data '!$C:$C)</f>
        <v>45698</v>
      </c>
      <c r="T73" s="15" t="str">
        <f t="shared" si="4"/>
        <v>Before</v>
      </c>
    </row>
    <row r="74" spans="1:20" ht="15">
      <c r="A74" s="15" t="s">
        <v>195</v>
      </c>
      <c r="B74" s="15" t="s">
        <v>41</v>
      </c>
      <c r="C74" s="16">
        <v>45583</v>
      </c>
      <c r="D74" s="15" t="s">
        <v>33</v>
      </c>
      <c r="E74" s="15" t="s">
        <v>34</v>
      </c>
      <c r="F74" s="15">
        <v>4126</v>
      </c>
      <c r="G74" s="15">
        <v>426</v>
      </c>
      <c r="H74" s="15">
        <v>486</v>
      </c>
      <c r="I74" s="15">
        <v>78394</v>
      </c>
      <c r="J74" s="15">
        <v>77798</v>
      </c>
      <c r="K74" s="15">
        <v>88</v>
      </c>
      <c r="L74" s="15" t="s">
        <v>584</v>
      </c>
      <c r="M74" s="15"/>
      <c r="N74" s="15" t="str">
        <f t="shared" si="3"/>
        <v>MyntraFashion</v>
      </c>
      <c r="O74" s="15" t="s">
        <v>19</v>
      </c>
      <c r="P74" s="17">
        <f>(Post[[#This Row],[Likes]]+Post[[#This Row],[Shares]]+Post[[#This Row],[Comments]])/Post[[#This Row],[Impressions]]</f>
        <v>6.4265122330790625E-2</v>
      </c>
      <c r="Q74" s="15">
        <f t="shared" si="5"/>
        <v>5038</v>
      </c>
      <c r="R74" s="16">
        <f>_xlfn.XLOOKUP($O74,'Campaign Data '!$A:$A,'Campaign Data '!$B:$B)</f>
        <v>45505</v>
      </c>
      <c r="S74" s="16">
        <f>_xlfn.XLOOKUP($O74,'Campaign Data '!$A:$A,'Campaign Data '!$C:$C)</f>
        <v>45535</v>
      </c>
      <c r="T74" s="15" t="str">
        <f t="shared" si="4"/>
        <v>Before</v>
      </c>
    </row>
    <row r="75" spans="1:20" ht="15">
      <c r="A75" s="15" t="s">
        <v>197</v>
      </c>
      <c r="B75" s="15" t="s">
        <v>27</v>
      </c>
      <c r="C75" s="16">
        <v>45593</v>
      </c>
      <c r="D75" s="15" t="s">
        <v>16</v>
      </c>
      <c r="E75" s="15" t="s">
        <v>17</v>
      </c>
      <c r="F75" s="15">
        <v>1855</v>
      </c>
      <c r="G75" s="15">
        <v>200</v>
      </c>
      <c r="H75" s="15">
        <v>174</v>
      </c>
      <c r="I75" s="15">
        <v>16695</v>
      </c>
      <c r="J75" s="15">
        <v>16330</v>
      </c>
      <c r="K75" s="15">
        <v>123</v>
      </c>
      <c r="L75" s="15" t="s">
        <v>584</v>
      </c>
      <c r="M75" s="15"/>
      <c r="N75" s="15" t="str">
        <f t="shared" si="3"/>
        <v>MyntraFashion</v>
      </c>
      <c r="O75" s="15" t="s">
        <v>39</v>
      </c>
      <c r="P75" s="17">
        <f>(Post[[#This Row],[Likes]]+Post[[#This Row],[Shares]]+Post[[#This Row],[Comments]])/Post[[#This Row],[Impressions]]</f>
        <v>0.13351302785265048</v>
      </c>
      <c r="Q75" s="15">
        <f t="shared" si="5"/>
        <v>2229</v>
      </c>
      <c r="R75" s="16">
        <f>_xlfn.XLOOKUP($O75,'Campaign Data '!$A:$A,'Campaign Data '!$B:$B)</f>
        <v>45570</v>
      </c>
      <c r="S75" s="16">
        <f>_xlfn.XLOOKUP($O75,'Campaign Data '!$A:$A,'Campaign Data '!$C:$C)</f>
        <v>45601</v>
      </c>
      <c r="T75" s="15" t="str">
        <f t="shared" si="4"/>
        <v>During</v>
      </c>
    </row>
    <row r="76" spans="1:20" ht="15">
      <c r="A76" s="15" t="s">
        <v>199</v>
      </c>
      <c r="B76" s="15" t="s">
        <v>31</v>
      </c>
      <c r="C76" s="16">
        <v>45505</v>
      </c>
      <c r="D76" s="15" t="s">
        <v>16</v>
      </c>
      <c r="E76" s="15" t="s">
        <v>17</v>
      </c>
      <c r="F76" s="15">
        <v>1674</v>
      </c>
      <c r="G76" s="15">
        <v>929</v>
      </c>
      <c r="H76" s="15">
        <v>37</v>
      </c>
      <c r="I76" s="15">
        <v>21762</v>
      </c>
      <c r="J76" s="15">
        <v>20998</v>
      </c>
      <c r="K76" s="15">
        <v>255</v>
      </c>
      <c r="L76" s="15" t="s">
        <v>585</v>
      </c>
      <c r="M76" s="15" t="s">
        <v>588</v>
      </c>
      <c r="N76" s="15" t="str">
        <f t="shared" si="3"/>
        <v>StyleWithMyntra,FashionDeals</v>
      </c>
      <c r="O76" s="15" t="s">
        <v>39</v>
      </c>
      <c r="P76" s="17">
        <f>(Post[[#This Row],[Likes]]+Post[[#This Row],[Shares]]+Post[[#This Row],[Comments]])/Post[[#This Row],[Impressions]]</f>
        <v>0.12131237937689551</v>
      </c>
      <c r="Q76" s="15">
        <f t="shared" si="5"/>
        <v>2640</v>
      </c>
      <c r="R76" s="16">
        <f>_xlfn.XLOOKUP($O76,'Campaign Data '!$A:$A,'Campaign Data '!$B:$B)</f>
        <v>45570</v>
      </c>
      <c r="S76" s="16">
        <f>_xlfn.XLOOKUP($O76,'Campaign Data '!$A:$A,'Campaign Data '!$C:$C)</f>
        <v>45601</v>
      </c>
      <c r="T76" s="15" t="str">
        <f t="shared" si="4"/>
        <v>Before</v>
      </c>
    </row>
    <row r="77" spans="1:20" ht="15">
      <c r="A77" s="15" t="s">
        <v>201</v>
      </c>
      <c r="B77" s="15" t="s">
        <v>14</v>
      </c>
      <c r="C77" s="16">
        <v>45603</v>
      </c>
      <c r="D77" s="15" t="s">
        <v>33</v>
      </c>
      <c r="E77" s="15" t="s">
        <v>34</v>
      </c>
      <c r="F77" s="15">
        <v>1121</v>
      </c>
      <c r="G77" s="15">
        <v>135</v>
      </c>
      <c r="H77" s="15">
        <v>18</v>
      </c>
      <c r="I77" s="15">
        <v>15694</v>
      </c>
      <c r="J77" s="15">
        <v>14957</v>
      </c>
      <c r="K77" s="15">
        <v>99</v>
      </c>
      <c r="L77" s="15" t="s">
        <v>583</v>
      </c>
      <c r="M77" s="15" t="s">
        <v>584</v>
      </c>
      <c r="N77" s="15" t="str">
        <f t="shared" si="3"/>
        <v>MyntraSale,MyntraFashion</v>
      </c>
      <c r="O77" s="15" t="s">
        <v>56</v>
      </c>
      <c r="P77" s="17">
        <f>(Post[[#This Row],[Likes]]+Post[[#This Row],[Shares]]+Post[[#This Row],[Comments]])/Post[[#This Row],[Impressions]]</f>
        <v>8.1177520071364848E-2</v>
      </c>
      <c r="Q77" s="15">
        <f t="shared" si="5"/>
        <v>1274</v>
      </c>
      <c r="R77" s="16">
        <f>_xlfn.XLOOKUP($O77,'Campaign Data '!$A:$A,'Campaign Data '!$B:$B)</f>
        <v>45667</v>
      </c>
      <c r="S77" s="16">
        <f>_xlfn.XLOOKUP($O77,'Campaign Data '!$A:$A,'Campaign Data '!$C:$C)</f>
        <v>45698</v>
      </c>
      <c r="T77" s="15" t="str">
        <f t="shared" si="4"/>
        <v>Before</v>
      </c>
    </row>
    <row r="78" spans="1:20" ht="15">
      <c r="A78" s="15" t="s">
        <v>203</v>
      </c>
      <c r="B78" s="15" t="s">
        <v>41</v>
      </c>
      <c r="C78" s="16">
        <v>45720</v>
      </c>
      <c r="D78" s="15" t="s">
        <v>33</v>
      </c>
      <c r="E78" s="15" t="s">
        <v>34</v>
      </c>
      <c r="F78" s="15">
        <v>1249</v>
      </c>
      <c r="G78" s="15">
        <v>116</v>
      </c>
      <c r="H78" s="15">
        <v>420</v>
      </c>
      <c r="I78" s="15">
        <v>8743</v>
      </c>
      <c r="J78" s="15">
        <v>8538</v>
      </c>
      <c r="K78" s="15">
        <v>63</v>
      </c>
      <c r="L78" s="15" t="s">
        <v>584</v>
      </c>
      <c r="M78" s="15" t="s">
        <v>588</v>
      </c>
      <c r="N78" s="15" t="str">
        <f t="shared" si="3"/>
        <v>MyntraFashion,FashionDeals</v>
      </c>
      <c r="O78" s="15" t="s">
        <v>39</v>
      </c>
      <c r="P78" s="17">
        <f>(Post[[#This Row],[Likes]]+Post[[#This Row],[Shares]]+Post[[#This Row],[Comments]])/Post[[#This Row],[Impressions]]</f>
        <v>0.20416333066453163</v>
      </c>
      <c r="Q78" s="15">
        <f t="shared" si="5"/>
        <v>1785</v>
      </c>
      <c r="R78" s="16">
        <f>_xlfn.XLOOKUP($O78,'Campaign Data '!$A:$A,'Campaign Data '!$B:$B)</f>
        <v>45570</v>
      </c>
      <c r="S78" s="16">
        <f>_xlfn.XLOOKUP($O78,'Campaign Data '!$A:$A,'Campaign Data '!$C:$C)</f>
        <v>45601</v>
      </c>
      <c r="T78" s="15" t="str">
        <f t="shared" si="4"/>
        <v>Before</v>
      </c>
    </row>
    <row r="79" spans="1:20" ht="15">
      <c r="A79" s="15" t="s">
        <v>204</v>
      </c>
      <c r="B79" s="15" t="s">
        <v>14</v>
      </c>
      <c r="C79" s="16">
        <v>45460</v>
      </c>
      <c r="D79" s="15" t="s">
        <v>50</v>
      </c>
      <c r="E79" s="15" t="s">
        <v>51</v>
      </c>
      <c r="F79" s="15">
        <v>954</v>
      </c>
      <c r="G79" s="15">
        <v>324</v>
      </c>
      <c r="H79" s="15">
        <v>288</v>
      </c>
      <c r="I79" s="15">
        <v>19080</v>
      </c>
      <c r="J79" s="15">
        <v>18859</v>
      </c>
      <c r="K79" s="15">
        <v>21</v>
      </c>
      <c r="L79" s="15" t="s">
        <v>586</v>
      </c>
      <c r="M79" s="15"/>
      <c r="N79" s="15" t="str">
        <f t="shared" si="3"/>
        <v>MyntraTrend</v>
      </c>
      <c r="O79" s="15" t="s">
        <v>39</v>
      </c>
      <c r="P79" s="17">
        <f>(Post[[#This Row],[Likes]]+Post[[#This Row],[Shares]]+Post[[#This Row],[Comments]])/Post[[#This Row],[Impressions]]</f>
        <v>8.2075471698113203E-2</v>
      </c>
      <c r="Q79" s="15">
        <f t="shared" si="5"/>
        <v>1566</v>
      </c>
      <c r="R79" s="16">
        <f>_xlfn.XLOOKUP($O79,'Campaign Data '!$A:$A,'Campaign Data '!$B:$B)</f>
        <v>45570</v>
      </c>
      <c r="S79" s="16">
        <f>_xlfn.XLOOKUP($O79,'Campaign Data '!$A:$A,'Campaign Data '!$C:$C)</f>
        <v>45601</v>
      </c>
      <c r="T79" s="15" t="str">
        <f t="shared" si="4"/>
        <v>Before</v>
      </c>
    </row>
    <row r="80" spans="1:20" ht="15">
      <c r="A80" s="15" t="s">
        <v>205</v>
      </c>
      <c r="B80" s="15" t="s">
        <v>31</v>
      </c>
      <c r="C80" s="16">
        <v>45574</v>
      </c>
      <c r="D80" s="15" t="s">
        <v>43</v>
      </c>
      <c r="E80" s="15" t="s">
        <v>44</v>
      </c>
      <c r="F80" s="15">
        <v>3068</v>
      </c>
      <c r="G80" s="15">
        <v>137</v>
      </c>
      <c r="H80" s="15">
        <v>329</v>
      </c>
      <c r="I80" s="15">
        <v>39884</v>
      </c>
      <c r="J80" s="15">
        <v>39404</v>
      </c>
      <c r="K80" s="15">
        <v>266</v>
      </c>
      <c r="L80" s="15" t="s">
        <v>583</v>
      </c>
      <c r="M80" s="15" t="s">
        <v>586</v>
      </c>
      <c r="N80" s="15" t="str">
        <f t="shared" si="3"/>
        <v>MyntraSale,MyntraTrend</v>
      </c>
      <c r="O80" s="15" t="s">
        <v>39</v>
      </c>
      <c r="P80" s="17">
        <f>(Post[[#This Row],[Likes]]+Post[[#This Row],[Shares]]+Post[[#This Row],[Comments]])/Post[[#This Row],[Impressions]]</f>
        <v>8.860696018453515E-2</v>
      </c>
      <c r="Q80" s="15">
        <f t="shared" si="5"/>
        <v>3534</v>
      </c>
      <c r="R80" s="16">
        <f>_xlfn.XLOOKUP($O80,'Campaign Data '!$A:$A,'Campaign Data '!$B:$B)</f>
        <v>45570</v>
      </c>
      <c r="S80" s="16">
        <f>_xlfn.XLOOKUP($O80,'Campaign Data '!$A:$A,'Campaign Data '!$C:$C)</f>
        <v>45601</v>
      </c>
      <c r="T80" s="15" t="str">
        <f t="shared" si="4"/>
        <v>During</v>
      </c>
    </row>
    <row r="81" spans="1:20" ht="15">
      <c r="A81" s="15" t="s">
        <v>207</v>
      </c>
      <c r="B81" s="15" t="s">
        <v>31</v>
      </c>
      <c r="C81" s="16">
        <v>45456</v>
      </c>
      <c r="D81" s="15" t="s">
        <v>33</v>
      </c>
      <c r="E81" s="15" t="s">
        <v>34</v>
      </c>
      <c r="F81" s="15">
        <v>2103</v>
      </c>
      <c r="G81" s="15">
        <v>892</v>
      </c>
      <c r="H81" s="15">
        <v>103</v>
      </c>
      <c r="I81" s="15">
        <v>39957</v>
      </c>
      <c r="J81" s="15">
        <v>39466</v>
      </c>
      <c r="K81" s="15">
        <v>28</v>
      </c>
      <c r="L81" s="15" t="s">
        <v>588</v>
      </c>
      <c r="M81" s="15" t="s">
        <v>584</v>
      </c>
      <c r="N81" s="15" t="str">
        <f t="shared" si="3"/>
        <v>FashionDeals,MyntraFashion</v>
      </c>
      <c r="O81" s="15" t="s">
        <v>25</v>
      </c>
      <c r="P81" s="17">
        <f>(Post[[#This Row],[Likes]]+Post[[#This Row],[Shares]]+Post[[#This Row],[Comments]])/Post[[#This Row],[Impressions]]</f>
        <v>7.7533348349475686E-2</v>
      </c>
      <c r="Q81" s="15">
        <f t="shared" si="5"/>
        <v>3098</v>
      </c>
      <c r="R81" s="16">
        <f>_xlfn.XLOOKUP($O81,'Campaign Data '!$A:$A,'Campaign Data '!$B:$B)</f>
        <v>45453</v>
      </c>
      <c r="S81" s="16">
        <f>_xlfn.XLOOKUP($O81,'Campaign Data '!$A:$A,'Campaign Data '!$C:$C)</f>
        <v>45478</v>
      </c>
      <c r="T81" s="15" t="str">
        <f t="shared" si="4"/>
        <v>During</v>
      </c>
    </row>
    <row r="82" spans="1:20" ht="15">
      <c r="A82" s="15" t="s">
        <v>208</v>
      </c>
      <c r="B82" s="15" t="s">
        <v>31</v>
      </c>
      <c r="C82" s="16">
        <v>45584</v>
      </c>
      <c r="D82" s="15" t="s">
        <v>33</v>
      </c>
      <c r="E82" s="15" t="s">
        <v>34</v>
      </c>
      <c r="F82" s="15">
        <v>1816</v>
      </c>
      <c r="G82" s="15">
        <v>29</v>
      </c>
      <c r="H82" s="15">
        <v>41</v>
      </c>
      <c r="I82" s="15">
        <v>19976</v>
      </c>
      <c r="J82" s="15">
        <v>19262</v>
      </c>
      <c r="K82" s="15">
        <v>283</v>
      </c>
      <c r="L82" s="15" t="s">
        <v>586</v>
      </c>
      <c r="M82" s="15" t="s">
        <v>583</v>
      </c>
      <c r="N82" s="15" t="str">
        <f t="shared" si="3"/>
        <v>MyntraTrend,MyntraSale</v>
      </c>
      <c r="O82" s="15" t="s">
        <v>39</v>
      </c>
      <c r="P82" s="17">
        <f>(Post[[#This Row],[Likes]]+Post[[#This Row],[Shares]]+Post[[#This Row],[Comments]])/Post[[#This Row],[Impressions]]</f>
        <v>9.4413295955146179E-2</v>
      </c>
      <c r="Q82" s="15">
        <f t="shared" si="5"/>
        <v>1886</v>
      </c>
      <c r="R82" s="16">
        <f>_xlfn.XLOOKUP($O82,'Campaign Data '!$A:$A,'Campaign Data '!$B:$B)</f>
        <v>45570</v>
      </c>
      <c r="S82" s="16">
        <f>_xlfn.XLOOKUP($O82,'Campaign Data '!$A:$A,'Campaign Data '!$C:$C)</f>
        <v>45601</v>
      </c>
      <c r="T82" s="15" t="str">
        <f t="shared" si="4"/>
        <v>During</v>
      </c>
    </row>
    <row r="83" spans="1:20" ht="15">
      <c r="A83" s="15" t="s">
        <v>211</v>
      </c>
      <c r="B83" s="15" t="s">
        <v>31</v>
      </c>
      <c r="C83" s="16">
        <v>45497</v>
      </c>
      <c r="D83" s="15" t="s">
        <v>50</v>
      </c>
      <c r="E83" s="15" t="s">
        <v>51</v>
      </c>
      <c r="F83" s="15">
        <v>725</v>
      </c>
      <c r="G83" s="15">
        <v>88</v>
      </c>
      <c r="H83" s="15">
        <v>428</v>
      </c>
      <c r="I83" s="15">
        <v>14500</v>
      </c>
      <c r="J83" s="15">
        <v>13637</v>
      </c>
      <c r="K83" s="15">
        <v>200</v>
      </c>
      <c r="L83" s="15" t="s">
        <v>586</v>
      </c>
      <c r="M83" s="15"/>
      <c r="N83" s="15" t="str">
        <f t="shared" si="3"/>
        <v>MyntraTrend</v>
      </c>
      <c r="O83" s="15" t="s">
        <v>39</v>
      </c>
      <c r="P83" s="17">
        <f>(Post[[#This Row],[Likes]]+Post[[#This Row],[Shares]]+Post[[#This Row],[Comments]])/Post[[#This Row],[Impressions]]</f>
        <v>8.558620689655172E-2</v>
      </c>
      <c r="Q83" s="15">
        <f t="shared" si="5"/>
        <v>1241</v>
      </c>
      <c r="R83" s="16">
        <f>_xlfn.XLOOKUP($O83,'Campaign Data '!$A:$A,'Campaign Data '!$B:$B)</f>
        <v>45570</v>
      </c>
      <c r="S83" s="16">
        <f>_xlfn.XLOOKUP($O83,'Campaign Data '!$A:$A,'Campaign Data '!$C:$C)</f>
        <v>45601</v>
      </c>
      <c r="T83" s="15" t="str">
        <f t="shared" si="4"/>
        <v>Before</v>
      </c>
    </row>
    <row r="84" spans="1:20" ht="15">
      <c r="A84" s="15" t="s">
        <v>213</v>
      </c>
      <c r="B84" s="15" t="s">
        <v>27</v>
      </c>
      <c r="C84" s="16">
        <v>45580</v>
      </c>
      <c r="D84" s="15" t="s">
        <v>70</v>
      </c>
      <c r="E84" s="15" t="s">
        <v>71</v>
      </c>
      <c r="F84" s="15">
        <v>1094</v>
      </c>
      <c r="G84" s="15">
        <v>472</v>
      </c>
      <c r="H84" s="15">
        <v>21</v>
      </c>
      <c r="I84" s="15">
        <v>9846</v>
      </c>
      <c r="J84" s="15">
        <v>9609</v>
      </c>
      <c r="K84" s="15">
        <v>112</v>
      </c>
      <c r="L84" s="15" t="s">
        <v>586</v>
      </c>
      <c r="M84" s="15" t="s">
        <v>585</v>
      </c>
      <c r="N84" s="15" t="str">
        <f t="shared" si="3"/>
        <v>MyntraTrend,StyleWithMyntra</v>
      </c>
      <c r="O84" s="15" t="s">
        <v>39</v>
      </c>
      <c r="P84" s="17">
        <f>(Post[[#This Row],[Likes]]+Post[[#This Row],[Shares]]+Post[[#This Row],[Comments]])/Post[[#This Row],[Impressions]]</f>
        <v>0.16118220597196831</v>
      </c>
      <c r="Q84" s="15">
        <f t="shared" si="5"/>
        <v>1587</v>
      </c>
      <c r="R84" s="16">
        <f>_xlfn.XLOOKUP($O84,'Campaign Data '!$A:$A,'Campaign Data '!$B:$B)</f>
        <v>45570</v>
      </c>
      <c r="S84" s="16">
        <f>_xlfn.XLOOKUP($O84,'Campaign Data '!$A:$A,'Campaign Data '!$C:$C)</f>
        <v>45601</v>
      </c>
      <c r="T84" s="15" t="str">
        <f t="shared" si="4"/>
        <v>During</v>
      </c>
    </row>
    <row r="85" spans="1:20" ht="15">
      <c r="A85" s="15" t="s">
        <v>216</v>
      </c>
      <c r="B85" s="15" t="s">
        <v>41</v>
      </c>
      <c r="C85" s="16">
        <v>45635</v>
      </c>
      <c r="D85" s="15" t="s">
        <v>50</v>
      </c>
      <c r="E85" s="15" t="s">
        <v>51</v>
      </c>
      <c r="F85" s="15">
        <v>1841</v>
      </c>
      <c r="G85" s="15">
        <v>851</v>
      </c>
      <c r="H85" s="15">
        <v>342</v>
      </c>
      <c r="I85" s="15">
        <v>34979</v>
      </c>
      <c r="J85" s="15">
        <v>34154</v>
      </c>
      <c r="K85" s="15">
        <v>255</v>
      </c>
      <c r="L85" s="15" t="s">
        <v>584</v>
      </c>
      <c r="M85" s="15" t="s">
        <v>588</v>
      </c>
      <c r="N85" s="15" t="str">
        <f t="shared" si="3"/>
        <v>MyntraFashion,FashionDeals</v>
      </c>
      <c r="O85" s="15" t="s">
        <v>19</v>
      </c>
      <c r="P85" s="17">
        <f>(Post[[#This Row],[Likes]]+Post[[#This Row],[Shares]]+Post[[#This Row],[Comments]])/Post[[#This Row],[Impressions]]</f>
        <v>8.6737756939878216E-2</v>
      </c>
      <c r="Q85" s="15">
        <f t="shared" si="5"/>
        <v>3034</v>
      </c>
      <c r="R85" s="16">
        <f>_xlfn.XLOOKUP($O85,'Campaign Data '!$A:$A,'Campaign Data '!$B:$B)</f>
        <v>45505</v>
      </c>
      <c r="S85" s="16">
        <f>_xlfn.XLOOKUP($O85,'Campaign Data '!$A:$A,'Campaign Data '!$C:$C)</f>
        <v>45535</v>
      </c>
      <c r="T85" s="15" t="str">
        <f t="shared" si="4"/>
        <v>Before</v>
      </c>
    </row>
    <row r="86" spans="1:20" ht="15">
      <c r="A86" s="15" t="s">
        <v>218</v>
      </c>
      <c r="B86" s="15" t="s">
        <v>31</v>
      </c>
      <c r="C86" s="16">
        <v>45766</v>
      </c>
      <c r="D86" s="15" t="s">
        <v>50</v>
      </c>
      <c r="E86" s="15" t="s">
        <v>51</v>
      </c>
      <c r="F86" s="15">
        <v>4177</v>
      </c>
      <c r="G86" s="15">
        <v>569</v>
      </c>
      <c r="H86" s="15">
        <v>55</v>
      </c>
      <c r="I86" s="15">
        <v>25062</v>
      </c>
      <c r="J86" s="15">
        <v>24847</v>
      </c>
      <c r="K86" s="15">
        <v>230</v>
      </c>
      <c r="L86" s="15" t="s">
        <v>584</v>
      </c>
      <c r="M86" s="15"/>
      <c r="N86" s="15" t="str">
        <f t="shared" si="3"/>
        <v>MyntraFashion</v>
      </c>
      <c r="O86" s="15" t="s">
        <v>19</v>
      </c>
      <c r="P86" s="17">
        <f>(Post[[#This Row],[Likes]]+Post[[#This Row],[Shares]]+Post[[#This Row],[Comments]])/Post[[#This Row],[Impressions]]</f>
        <v>0.19156491900087783</v>
      </c>
      <c r="Q86" s="15">
        <f t="shared" si="5"/>
        <v>4801</v>
      </c>
      <c r="R86" s="16">
        <f>_xlfn.XLOOKUP($O86,'Campaign Data '!$A:$A,'Campaign Data '!$B:$B)</f>
        <v>45505</v>
      </c>
      <c r="S86" s="16">
        <f>_xlfn.XLOOKUP($O86,'Campaign Data '!$A:$A,'Campaign Data '!$C:$C)</f>
        <v>45535</v>
      </c>
      <c r="T86" s="15" t="str">
        <f t="shared" si="4"/>
        <v>Before</v>
      </c>
    </row>
    <row r="87" spans="1:20" ht="15">
      <c r="A87" s="15" t="s">
        <v>219</v>
      </c>
      <c r="B87" s="15" t="s">
        <v>27</v>
      </c>
      <c r="C87" s="16">
        <v>45684</v>
      </c>
      <c r="D87" s="15" t="s">
        <v>22</v>
      </c>
      <c r="E87" s="15" t="s">
        <v>23</v>
      </c>
      <c r="F87" s="15">
        <v>3428</v>
      </c>
      <c r="G87" s="15">
        <v>305</v>
      </c>
      <c r="H87" s="15">
        <v>85</v>
      </c>
      <c r="I87" s="15">
        <v>58276</v>
      </c>
      <c r="J87" s="15">
        <v>58052</v>
      </c>
      <c r="K87" s="15">
        <v>242</v>
      </c>
      <c r="L87" s="15" t="s">
        <v>586</v>
      </c>
      <c r="M87" s="15" t="s">
        <v>585</v>
      </c>
      <c r="N87" s="15" t="str">
        <f t="shared" si="3"/>
        <v>MyntraTrend,StyleWithMyntra</v>
      </c>
      <c r="O87" s="15" t="s">
        <v>39</v>
      </c>
      <c r="P87" s="17">
        <f>(Post[[#This Row],[Likes]]+Post[[#This Row],[Shares]]+Post[[#This Row],[Comments]])/Post[[#This Row],[Impressions]]</f>
        <v>6.5515821264328367E-2</v>
      </c>
      <c r="Q87" s="15">
        <f t="shared" si="5"/>
        <v>3818</v>
      </c>
      <c r="R87" s="16">
        <f>_xlfn.XLOOKUP($O87,'Campaign Data '!$A:$A,'Campaign Data '!$B:$B)</f>
        <v>45570</v>
      </c>
      <c r="S87" s="16">
        <f>_xlfn.XLOOKUP($O87,'Campaign Data '!$A:$A,'Campaign Data '!$C:$C)</f>
        <v>45601</v>
      </c>
      <c r="T87" s="15" t="str">
        <f t="shared" si="4"/>
        <v>Before</v>
      </c>
    </row>
    <row r="88" spans="1:20" ht="15">
      <c r="A88" s="15" t="s">
        <v>221</v>
      </c>
      <c r="B88" s="15" t="s">
        <v>14</v>
      </c>
      <c r="C88" s="16">
        <v>45449</v>
      </c>
      <c r="D88" s="15" t="s">
        <v>70</v>
      </c>
      <c r="E88" s="15" t="s">
        <v>71</v>
      </c>
      <c r="F88" s="15">
        <v>1436</v>
      </c>
      <c r="G88" s="15">
        <v>765</v>
      </c>
      <c r="H88" s="15">
        <v>496</v>
      </c>
      <c r="I88" s="15">
        <v>12924</v>
      </c>
      <c r="J88" s="15">
        <v>12701</v>
      </c>
      <c r="K88" s="15">
        <v>197</v>
      </c>
      <c r="L88" s="15" t="s">
        <v>586</v>
      </c>
      <c r="M88" s="15" t="s">
        <v>583</v>
      </c>
      <c r="N88" s="15" t="str">
        <f t="shared" si="3"/>
        <v>MyntraTrend,MyntraSale</v>
      </c>
      <c r="O88" s="15" t="s">
        <v>25</v>
      </c>
      <c r="P88" s="17">
        <f>(Post[[#This Row],[Likes]]+Post[[#This Row],[Shares]]+Post[[#This Row],[Comments]])/Post[[#This Row],[Impressions]]</f>
        <v>0.20868152274837512</v>
      </c>
      <c r="Q88" s="15">
        <f t="shared" si="5"/>
        <v>2697</v>
      </c>
      <c r="R88" s="16">
        <f>_xlfn.XLOOKUP($O88,'Campaign Data '!$A:$A,'Campaign Data '!$B:$B)</f>
        <v>45453</v>
      </c>
      <c r="S88" s="16">
        <f>_xlfn.XLOOKUP($O88,'Campaign Data '!$A:$A,'Campaign Data '!$C:$C)</f>
        <v>45478</v>
      </c>
      <c r="T88" s="15" t="str">
        <f t="shared" si="4"/>
        <v>Before</v>
      </c>
    </row>
    <row r="89" spans="1:20" ht="15">
      <c r="A89" s="15" t="s">
        <v>223</v>
      </c>
      <c r="B89" s="15" t="s">
        <v>41</v>
      </c>
      <c r="C89" s="16">
        <v>45480</v>
      </c>
      <c r="D89" s="15" t="s">
        <v>33</v>
      </c>
      <c r="E89" s="15" t="s">
        <v>34</v>
      </c>
      <c r="F89" s="15">
        <v>302</v>
      </c>
      <c r="G89" s="15">
        <v>47</v>
      </c>
      <c r="H89" s="15">
        <v>430</v>
      </c>
      <c r="I89" s="15">
        <v>5738</v>
      </c>
      <c r="J89" s="15">
        <v>4890</v>
      </c>
      <c r="K89" s="15">
        <v>25</v>
      </c>
      <c r="L89" s="15" t="s">
        <v>584</v>
      </c>
      <c r="M89" s="15" t="s">
        <v>583</v>
      </c>
      <c r="N89" s="15" t="str">
        <f t="shared" si="3"/>
        <v>MyntraFashion,MyntraSale</v>
      </c>
      <c r="O89" s="15" t="s">
        <v>25</v>
      </c>
      <c r="P89" s="17">
        <f>(Post[[#This Row],[Likes]]+Post[[#This Row],[Shares]]+Post[[#This Row],[Comments]])/Post[[#This Row],[Impressions]]</f>
        <v>0.13576158940397351</v>
      </c>
      <c r="Q89" s="15">
        <f t="shared" si="5"/>
        <v>779</v>
      </c>
      <c r="R89" s="16">
        <f>_xlfn.XLOOKUP($O89,'Campaign Data '!$A:$A,'Campaign Data '!$B:$B)</f>
        <v>45453</v>
      </c>
      <c r="S89" s="16">
        <f>_xlfn.XLOOKUP($O89,'Campaign Data '!$A:$A,'Campaign Data '!$C:$C)</f>
        <v>45478</v>
      </c>
      <c r="T89" s="15" t="str">
        <f t="shared" si="4"/>
        <v>Before</v>
      </c>
    </row>
    <row r="90" spans="1:20" ht="15">
      <c r="A90" s="15" t="s">
        <v>225</v>
      </c>
      <c r="B90" s="15" t="s">
        <v>14</v>
      </c>
      <c r="C90" s="16">
        <v>45667</v>
      </c>
      <c r="D90" s="15" t="s">
        <v>50</v>
      </c>
      <c r="E90" s="15" t="s">
        <v>51</v>
      </c>
      <c r="F90" s="15">
        <v>2214</v>
      </c>
      <c r="G90" s="15">
        <v>249</v>
      </c>
      <c r="H90" s="15">
        <v>152</v>
      </c>
      <c r="I90" s="15">
        <v>15498</v>
      </c>
      <c r="J90" s="15">
        <v>14800</v>
      </c>
      <c r="K90" s="15">
        <v>180</v>
      </c>
      <c r="L90" s="15" t="s">
        <v>583</v>
      </c>
      <c r="M90" s="15"/>
      <c r="N90" s="15" t="str">
        <f t="shared" si="3"/>
        <v>MyntraSale</v>
      </c>
      <c r="O90" s="15" t="s">
        <v>25</v>
      </c>
      <c r="P90" s="17">
        <f>(Post[[#This Row],[Likes]]+Post[[#This Row],[Shares]]+Post[[#This Row],[Comments]])/Post[[#This Row],[Impressions]]</f>
        <v>0.16873144921925409</v>
      </c>
      <c r="Q90" s="15">
        <f t="shared" si="5"/>
        <v>2615</v>
      </c>
      <c r="R90" s="16">
        <f>_xlfn.XLOOKUP($O90,'Campaign Data '!$A:$A,'Campaign Data '!$B:$B)</f>
        <v>45453</v>
      </c>
      <c r="S90" s="16">
        <f>_xlfn.XLOOKUP($O90,'Campaign Data '!$A:$A,'Campaign Data '!$C:$C)</f>
        <v>45478</v>
      </c>
      <c r="T90" s="15" t="str">
        <f t="shared" si="4"/>
        <v>Before</v>
      </c>
    </row>
    <row r="91" spans="1:20" ht="15">
      <c r="A91" s="15" t="s">
        <v>227</v>
      </c>
      <c r="B91" s="15" t="s">
        <v>31</v>
      </c>
      <c r="C91" s="16">
        <v>45446</v>
      </c>
      <c r="D91" s="15" t="s">
        <v>50</v>
      </c>
      <c r="E91" s="15" t="s">
        <v>51</v>
      </c>
      <c r="F91" s="15">
        <v>3861</v>
      </c>
      <c r="G91" s="15">
        <v>960</v>
      </c>
      <c r="H91" s="15">
        <v>101</v>
      </c>
      <c r="I91" s="15">
        <v>69498</v>
      </c>
      <c r="J91" s="15">
        <v>68817</v>
      </c>
      <c r="K91" s="15">
        <v>297</v>
      </c>
      <c r="L91" s="15" t="s">
        <v>584</v>
      </c>
      <c r="M91" s="15"/>
      <c r="N91" s="15" t="str">
        <f t="shared" si="3"/>
        <v>MyntraFashion</v>
      </c>
      <c r="O91" s="15" t="s">
        <v>25</v>
      </c>
      <c r="P91" s="17">
        <f>(Post[[#This Row],[Likes]]+Post[[#This Row],[Shares]]+Post[[#This Row],[Comments]])/Post[[#This Row],[Impressions]]</f>
        <v>7.0822181933293038E-2</v>
      </c>
      <c r="Q91" s="15">
        <f t="shared" si="5"/>
        <v>4922</v>
      </c>
      <c r="R91" s="16">
        <f>_xlfn.XLOOKUP($O91,'Campaign Data '!$A:$A,'Campaign Data '!$B:$B)</f>
        <v>45453</v>
      </c>
      <c r="S91" s="16">
        <f>_xlfn.XLOOKUP($O91,'Campaign Data '!$A:$A,'Campaign Data '!$C:$C)</f>
        <v>45478</v>
      </c>
      <c r="T91" s="15" t="str">
        <f t="shared" si="4"/>
        <v>Before</v>
      </c>
    </row>
    <row r="92" spans="1:20" ht="15">
      <c r="A92" s="15" t="s">
        <v>229</v>
      </c>
      <c r="B92" s="15" t="s">
        <v>41</v>
      </c>
      <c r="C92" s="16">
        <v>45740</v>
      </c>
      <c r="D92" s="15" t="s">
        <v>50</v>
      </c>
      <c r="E92" s="15" t="s">
        <v>51</v>
      </c>
      <c r="F92" s="15">
        <v>1263</v>
      </c>
      <c r="G92" s="15">
        <v>397</v>
      </c>
      <c r="H92" s="15">
        <v>357</v>
      </c>
      <c r="I92" s="15">
        <v>25260</v>
      </c>
      <c r="J92" s="15">
        <v>24615</v>
      </c>
      <c r="K92" s="15">
        <v>137</v>
      </c>
      <c r="L92" s="15" t="s">
        <v>583</v>
      </c>
      <c r="M92" s="15"/>
      <c r="N92" s="15" t="str">
        <f t="shared" si="3"/>
        <v>MyntraSale</v>
      </c>
      <c r="O92" s="15" t="s">
        <v>25</v>
      </c>
      <c r="P92" s="17">
        <f>(Post[[#This Row],[Likes]]+Post[[#This Row],[Shares]]+Post[[#This Row],[Comments]])/Post[[#This Row],[Impressions]]</f>
        <v>7.984956452889945E-2</v>
      </c>
      <c r="Q92" s="15">
        <f t="shared" si="5"/>
        <v>2017</v>
      </c>
      <c r="R92" s="16">
        <f>_xlfn.XLOOKUP($O92,'Campaign Data '!$A:$A,'Campaign Data '!$B:$B)</f>
        <v>45453</v>
      </c>
      <c r="S92" s="16">
        <f>_xlfn.XLOOKUP($O92,'Campaign Data '!$A:$A,'Campaign Data '!$C:$C)</f>
        <v>45478</v>
      </c>
      <c r="T92" s="15" t="str">
        <f t="shared" si="4"/>
        <v>Before</v>
      </c>
    </row>
    <row r="93" spans="1:20" ht="15">
      <c r="A93" s="15" t="s">
        <v>231</v>
      </c>
      <c r="B93" s="15" t="s">
        <v>14</v>
      </c>
      <c r="C93" s="16">
        <v>45586</v>
      </c>
      <c r="D93" s="15" t="s">
        <v>33</v>
      </c>
      <c r="E93" s="15" t="s">
        <v>34</v>
      </c>
      <c r="F93" s="15">
        <v>3801</v>
      </c>
      <c r="G93" s="15">
        <v>967</v>
      </c>
      <c r="H93" s="15">
        <v>401</v>
      </c>
      <c r="I93" s="15">
        <v>38010</v>
      </c>
      <c r="J93" s="15">
        <v>37625</v>
      </c>
      <c r="K93" s="15">
        <v>236</v>
      </c>
      <c r="L93" s="15" t="s">
        <v>585</v>
      </c>
      <c r="M93" s="15"/>
      <c r="N93" s="15" t="str">
        <f t="shared" si="3"/>
        <v>StyleWithMyntra</v>
      </c>
      <c r="O93" s="15" t="s">
        <v>56</v>
      </c>
      <c r="P93" s="17">
        <f>(Post[[#This Row],[Likes]]+Post[[#This Row],[Shares]]+Post[[#This Row],[Comments]])/Post[[#This Row],[Impressions]]</f>
        <v>0.13599052880820836</v>
      </c>
      <c r="Q93" s="15">
        <f t="shared" si="5"/>
        <v>5169</v>
      </c>
      <c r="R93" s="16">
        <f>_xlfn.XLOOKUP($O93,'Campaign Data '!$A:$A,'Campaign Data '!$B:$B)</f>
        <v>45667</v>
      </c>
      <c r="S93" s="16">
        <f>_xlfn.XLOOKUP($O93,'Campaign Data '!$A:$A,'Campaign Data '!$C:$C)</f>
        <v>45698</v>
      </c>
      <c r="T93" s="15" t="str">
        <f t="shared" si="4"/>
        <v>Before</v>
      </c>
    </row>
    <row r="94" spans="1:20" ht="15">
      <c r="A94" s="15" t="s">
        <v>232</v>
      </c>
      <c r="B94" s="15" t="s">
        <v>31</v>
      </c>
      <c r="C94" s="16">
        <v>45637</v>
      </c>
      <c r="D94" s="15" t="s">
        <v>70</v>
      </c>
      <c r="E94" s="15" t="s">
        <v>71</v>
      </c>
      <c r="F94" s="15">
        <v>1431</v>
      </c>
      <c r="G94" s="15">
        <v>951</v>
      </c>
      <c r="H94" s="15">
        <v>26</v>
      </c>
      <c r="I94" s="15">
        <v>8586</v>
      </c>
      <c r="J94" s="15">
        <v>8396</v>
      </c>
      <c r="K94" s="15">
        <v>150</v>
      </c>
      <c r="L94" s="15" t="s">
        <v>586</v>
      </c>
      <c r="M94" s="15" t="s">
        <v>588</v>
      </c>
      <c r="N94" s="15" t="str">
        <f t="shared" si="3"/>
        <v>MyntraTrend,FashionDeals</v>
      </c>
      <c r="O94" s="15" t="s">
        <v>19</v>
      </c>
      <c r="P94" s="17">
        <f>(Post[[#This Row],[Likes]]+Post[[#This Row],[Shares]]+Post[[#This Row],[Comments]])/Post[[#This Row],[Impressions]]</f>
        <v>0.28045655718611695</v>
      </c>
      <c r="Q94" s="15">
        <f t="shared" si="5"/>
        <v>2408</v>
      </c>
      <c r="R94" s="16">
        <f>_xlfn.XLOOKUP($O94,'Campaign Data '!$A:$A,'Campaign Data '!$B:$B)</f>
        <v>45505</v>
      </c>
      <c r="S94" s="16">
        <f>_xlfn.XLOOKUP($O94,'Campaign Data '!$A:$A,'Campaign Data '!$C:$C)</f>
        <v>45535</v>
      </c>
      <c r="T94" s="15" t="str">
        <f t="shared" si="4"/>
        <v>Before</v>
      </c>
    </row>
    <row r="95" spans="1:20" ht="15">
      <c r="A95" s="15" t="s">
        <v>234</v>
      </c>
      <c r="B95" s="15" t="s">
        <v>31</v>
      </c>
      <c r="C95" s="16">
        <v>45603</v>
      </c>
      <c r="D95" s="15" t="s">
        <v>50</v>
      </c>
      <c r="E95" s="15" t="s">
        <v>51</v>
      </c>
      <c r="F95" s="15">
        <v>2647</v>
      </c>
      <c r="G95" s="15">
        <v>304</v>
      </c>
      <c r="H95" s="15">
        <v>170</v>
      </c>
      <c r="I95" s="15">
        <v>18529</v>
      </c>
      <c r="J95" s="15">
        <v>17841</v>
      </c>
      <c r="K95" s="15">
        <v>46</v>
      </c>
      <c r="L95" s="15" t="s">
        <v>585</v>
      </c>
      <c r="M95" s="15"/>
      <c r="N95" s="15" t="str">
        <f t="shared" si="3"/>
        <v>StyleWithMyntra</v>
      </c>
      <c r="O95" s="15" t="s">
        <v>25</v>
      </c>
      <c r="P95" s="17">
        <f>(Post[[#This Row],[Likes]]+Post[[#This Row],[Shares]]+Post[[#This Row],[Comments]])/Post[[#This Row],[Impressions]]</f>
        <v>0.16843866371633656</v>
      </c>
      <c r="Q95" s="15">
        <f t="shared" si="5"/>
        <v>3121</v>
      </c>
      <c r="R95" s="16">
        <f>_xlfn.XLOOKUP($O95,'Campaign Data '!$A:$A,'Campaign Data '!$B:$B)</f>
        <v>45453</v>
      </c>
      <c r="S95" s="16">
        <f>_xlfn.XLOOKUP($O95,'Campaign Data '!$A:$A,'Campaign Data '!$C:$C)</f>
        <v>45478</v>
      </c>
      <c r="T95" s="15" t="str">
        <f t="shared" si="4"/>
        <v>Before</v>
      </c>
    </row>
    <row r="96" spans="1:20" ht="15">
      <c r="A96" s="15" t="s">
        <v>235</v>
      </c>
      <c r="B96" s="15" t="s">
        <v>31</v>
      </c>
      <c r="C96" s="16">
        <v>45604</v>
      </c>
      <c r="D96" s="15" t="s">
        <v>22</v>
      </c>
      <c r="E96" s="15" t="s">
        <v>23</v>
      </c>
      <c r="F96" s="15">
        <v>3182</v>
      </c>
      <c r="G96" s="15">
        <v>559</v>
      </c>
      <c r="H96" s="15">
        <v>160</v>
      </c>
      <c r="I96" s="15">
        <v>57276</v>
      </c>
      <c r="J96" s="15">
        <v>56890</v>
      </c>
      <c r="K96" s="15">
        <v>163</v>
      </c>
      <c r="L96" s="15" t="s">
        <v>585</v>
      </c>
      <c r="M96" s="15" t="s">
        <v>586</v>
      </c>
      <c r="N96" s="15" t="str">
        <f t="shared" si="3"/>
        <v>StyleWithMyntra,MyntraTrend</v>
      </c>
      <c r="O96" s="15" t="s">
        <v>25</v>
      </c>
      <c r="P96" s="17">
        <f>(Post[[#This Row],[Likes]]+Post[[#This Row],[Shares]]+Post[[#This Row],[Comments]])/Post[[#This Row],[Impressions]]</f>
        <v>6.8108806480899509E-2</v>
      </c>
      <c r="Q96" s="15">
        <f t="shared" si="5"/>
        <v>3901</v>
      </c>
      <c r="R96" s="16">
        <f>_xlfn.XLOOKUP($O96,'Campaign Data '!$A:$A,'Campaign Data '!$B:$B)</f>
        <v>45453</v>
      </c>
      <c r="S96" s="16">
        <f>_xlfn.XLOOKUP($O96,'Campaign Data '!$A:$A,'Campaign Data '!$C:$C)</f>
        <v>45478</v>
      </c>
      <c r="T96" s="15" t="str">
        <f t="shared" si="4"/>
        <v>Before</v>
      </c>
    </row>
    <row r="97" spans="1:20" ht="15">
      <c r="A97" s="15" t="s">
        <v>237</v>
      </c>
      <c r="B97" s="15" t="s">
        <v>14</v>
      </c>
      <c r="C97" s="16">
        <v>45545</v>
      </c>
      <c r="D97" s="15" t="s">
        <v>50</v>
      </c>
      <c r="E97" s="15" t="s">
        <v>51</v>
      </c>
      <c r="F97" s="15">
        <v>1238</v>
      </c>
      <c r="G97" s="15">
        <v>366</v>
      </c>
      <c r="H97" s="15">
        <v>444</v>
      </c>
      <c r="I97" s="15">
        <v>19808</v>
      </c>
      <c r="J97" s="15">
        <v>19334</v>
      </c>
      <c r="K97" s="15">
        <v>123</v>
      </c>
      <c r="L97" s="15" t="s">
        <v>588</v>
      </c>
      <c r="M97" s="15"/>
      <c r="N97" s="15" t="str">
        <f t="shared" si="3"/>
        <v>FashionDeals</v>
      </c>
      <c r="O97" s="15" t="s">
        <v>39</v>
      </c>
      <c r="P97" s="17">
        <f>(Post[[#This Row],[Likes]]+Post[[#This Row],[Shares]]+Post[[#This Row],[Comments]])/Post[[#This Row],[Impressions]]</f>
        <v>0.10339256865912763</v>
      </c>
      <c r="Q97" s="15">
        <f t="shared" si="5"/>
        <v>2048</v>
      </c>
      <c r="R97" s="16">
        <f>_xlfn.XLOOKUP($O97,'Campaign Data '!$A:$A,'Campaign Data '!$B:$B)</f>
        <v>45570</v>
      </c>
      <c r="S97" s="16">
        <f>_xlfn.XLOOKUP($O97,'Campaign Data '!$A:$A,'Campaign Data '!$C:$C)</f>
        <v>45601</v>
      </c>
      <c r="T97" s="15" t="str">
        <f t="shared" si="4"/>
        <v>Before</v>
      </c>
    </row>
    <row r="98" spans="1:20" ht="15">
      <c r="A98" s="15" t="s">
        <v>239</v>
      </c>
      <c r="B98" s="15" t="s">
        <v>31</v>
      </c>
      <c r="C98" s="16">
        <v>45517</v>
      </c>
      <c r="D98" s="15" t="s">
        <v>50</v>
      </c>
      <c r="E98" s="15" t="s">
        <v>51</v>
      </c>
      <c r="F98" s="15">
        <v>4739</v>
      </c>
      <c r="G98" s="15">
        <v>527</v>
      </c>
      <c r="H98" s="15">
        <v>135</v>
      </c>
      <c r="I98" s="15">
        <v>61607</v>
      </c>
      <c r="J98" s="15">
        <v>61333</v>
      </c>
      <c r="K98" s="15">
        <v>36</v>
      </c>
      <c r="L98" s="15" t="s">
        <v>585</v>
      </c>
      <c r="M98" s="15" t="s">
        <v>583</v>
      </c>
      <c r="N98" s="15" t="str">
        <f t="shared" si="3"/>
        <v>StyleWithMyntra,MyntraSale</v>
      </c>
      <c r="O98" s="15" t="s">
        <v>25</v>
      </c>
      <c r="P98" s="17">
        <f>(Post[[#This Row],[Likes]]+Post[[#This Row],[Shares]]+Post[[#This Row],[Comments]])/Post[[#This Row],[Impressions]]</f>
        <v>8.7668609086629767E-2</v>
      </c>
      <c r="Q98" s="15">
        <f t="shared" si="5"/>
        <v>5401</v>
      </c>
      <c r="R98" s="16">
        <f>_xlfn.XLOOKUP($O98,'Campaign Data '!$A:$A,'Campaign Data '!$B:$B)</f>
        <v>45453</v>
      </c>
      <c r="S98" s="16">
        <f>_xlfn.XLOOKUP($O98,'Campaign Data '!$A:$A,'Campaign Data '!$C:$C)</f>
        <v>45478</v>
      </c>
      <c r="T98" s="15" t="str">
        <f t="shared" si="4"/>
        <v>Before</v>
      </c>
    </row>
    <row r="99" spans="1:20" ht="15">
      <c r="A99" s="15" t="s">
        <v>241</v>
      </c>
      <c r="B99" s="15" t="s">
        <v>14</v>
      </c>
      <c r="C99" s="16">
        <v>45453</v>
      </c>
      <c r="D99" s="15" t="s">
        <v>33</v>
      </c>
      <c r="E99" s="15" t="s">
        <v>34</v>
      </c>
      <c r="F99" s="15">
        <v>1575</v>
      </c>
      <c r="G99" s="15">
        <v>771</v>
      </c>
      <c r="H99" s="15">
        <v>486</v>
      </c>
      <c r="I99" s="15">
        <v>25200</v>
      </c>
      <c r="J99" s="15">
        <v>24826</v>
      </c>
      <c r="K99" s="15">
        <v>17</v>
      </c>
      <c r="L99" s="15" t="s">
        <v>585</v>
      </c>
      <c r="M99" s="15"/>
      <c r="N99" s="15" t="str">
        <f t="shared" si="3"/>
        <v>StyleWithMyntra</v>
      </c>
      <c r="O99" s="15" t="s">
        <v>39</v>
      </c>
      <c r="P99" s="17">
        <f>(Post[[#This Row],[Likes]]+Post[[#This Row],[Shares]]+Post[[#This Row],[Comments]])/Post[[#This Row],[Impressions]]</f>
        <v>0.11238095238095239</v>
      </c>
      <c r="Q99" s="15">
        <f t="shared" si="5"/>
        <v>2832</v>
      </c>
      <c r="R99" s="16">
        <f>_xlfn.XLOOKUP($O99,'Campaign Data '!$A:$A,'Campaign Data '!$B:$B)</f>
        <v>45570</v>
      </c>
      <c r="S99" s="16">
        <f>_xlfn.XLOOKUP($O99,'Campaign Data '!$A:$A,'Campaign Data '!$C:$C)</f>
        <v>45601</v>
      </c>
      <c r="T99" s="15" t="str">
        <f t="shared" si="4"/>
        <v>Before</v>
      </c>
    </row>
    <row r="100" spans="1:20" ht="15">
      <c r="A100" s="15" t="s">
        <v>242</v>
      </c>
      <c r="B100" s="15" t="s">
        <v>27</v>
      </c>
      <c r="C100" s="16">
        <v>45475</v>
      </c>
      <c r="D100" s="15" t="s">
        <v>43</v>
      </c>
      <c r="E100" s="15" t="s">
        <v>44</v>
      </c>
      <c r="F100" s="15">
        <v>4171</v>
      </c>
      <c r="G100" s="15">
        <v>548</v>
      </c>
      <c r="H100" s="15">
        <v>86</v>
      </c>
      <c r="I100" s="15">
        <v>66736</v>
      </c>
      <c r="J100" s="15">
        <v>66634</v>
      </c>
      <c r="K100" s="15">
        <v>173</v>
      </c>
      <c r="L100" s="15" t="s">
        <v>585</v>
      </c>
      <c r="M100" s="15"/>
      <c r="N100" s="15" t="str">
        <f t="shared" si="3"/>
        <v>StyleWithMyntra</v>
      </c>
      <c r="O100" s="15" t="s">
        <v>39</v>
      </c>
      <c r="P100" s="17">
        <f>(Post[[#This Row],[Likes]]+Post[[#This Row],[Shares]]+Post[[#This Row],[Comments]])/Post[[#This Row],[Impressions]]</f>
        <v>7.2000119875329657E-2</v>
      </c>
      <c r="Q100" s="15">
        <f t="shared" si="5"/>
        <v>4805</v>
      </c>
      <c r="R100" s="16">
        <f>_xlfn.XLOOKUP($O100,'Campaign Data '!$A:$A,'Campaign Data '!$B:$B)</f>
        <v>45570</v>
      </c>
      <c r="S100" s="16">
        <f>_xlfn.XLOOKUP($O100,'Campaign Data '!$A:$A,'Campaign Data '!$C:$C)</f>
        <v>45601</v>
      </c>
      <c r="T100" s="15" t="str">
        <f t="shared" si="4"/>
        <v>Before</v>
      </c>
    </row>
    <row r="101" spans="1:20" ht="15">
      <c r="A101" s="15" t="s">
        <v>244</v>
      </c>
      <c r="B101" s="15" t="s">
        <v>27</v>
      </c>
      <c r="C101" s="16">
        <v>45698</v>
      </c>
      <c r="D101" s="15" t="s">
        <v>70</v>
      </c>
      <c r="E101" s="15" t="s">
        <v>71</v>
      </c>
      <c r="F101" s="15">
        <v>1766</v>
      </c>
      <c r="G101" s="15">
        <v>92</v>
      </c>
      <c r="H101" s="15">
        <v>424</v>
      </c>
      <c r="I101" s="15">
        <v>24724</v>
      </c>
      <c r="J101" s="15">
        <v>24333</v>
      </c>
      <c r="K101" s="15">
        <v>52</v>
      </c>
      <c r="L101" s="15" t="s">
        <v>585</v>
      </c>
      <c r="M101" s="15"/>
      <c r="N101" s="15" t="str">
        <f t="shared" si="3"/>
        <v>StyleWithMyntra</v>
      </c>
      <c r="O101" s="15" t="s">
        <v>19</v>
      </c>
      <c r="P101" s="17">
        <f>(Post[[#This Row],[Likes]]+Post[[#This Row],[Shares]]+Post[[#This Row],[Comments]])/Post[[#This Row],[Impressions]]</f>
        <v>9.2298980747451867E-2</v>
      </c>
      <c r="Q101" s="15">
        <f t="shared" si="5"/>
        <v>2282</v>
      </c>
      <c r="R101" s="16">
        <f>_xlfn.XLOOKUP($O101,'Campaign Data '!$A:$A,'Campaign Data '!$B:$B)</f>
        <v>45505</v>
      </c>
      <c r="S101" s="16">
        <f>_xlfn.XLOOKUP($O101,'Campaign Data '!$A:$A,'Campaign Data '!$C:$C)</f>
        <v>45535</v>
      </c>
      <c r="T101" s="15" t="str">
        <f t="shared" si="4"/>
        <v>Before</v>
      </c>
    </row>
    <row r="102" spans="1:20" ht="15">
      <c r="A102" s="15" t="s">
        <v>246</v>
      </c>
      <c r="B102" s="15" t="s">
        <v>27</v>
      </c>
      <c r="C102" s="16">
        <v>45583</v>
      </c>
      <c r="D102" s="15" t="s">
        <v>70</v>
      </c>
      <c r="E102" s="15" t="s">
        <v>71</v>
      </c>
      <c r="F102" s="15">
        <v>4450</v>
      </c>
      <c r="G102" s="15">
        <v>983</v>
      </c>
      <c r="H102" s="15">
        <v>143</v>
      </c>
      <c r="I102" s="15">
        <v>75650</v>
      </c>
      <c r="J102" s="15">
        <v>75008</v>
      </c>
      <c r="K102" s="15">
        <v>12</v>
      </c>
      <c r="L102" s="15" t="s">
        <v>583</v>
      </c>
      <c r="M102" s="15" t="s">
        <v>585</v>
      </c>
      <c r="N102" s="15" t="str">
        <f t="shared" si="3"/>
        <v>MyntraSale,StyleWithMyntra</v>
      </c>
      <c r="O102" s="15" t="s">
        <v>25</v>
      </c>
      <c r="P102" s="17">
        <f>(Post[[#This Row],[Likes]]+Post[[#This Row],[Shares]]+Post[[#This Row],[Comments]])/Post[[#This Row],[Impressions]]</f>
        <v>7.3707865168539333E-2</v>
      </c>
      <c r="Q102" s="15">
        <f t="shared" si="5"/>
        <v>5576</v>
      </c>
      <c r="R102" s="16">
        <f>_xlfn.XLOOKUP($O102,'Campaign Data '!$A:$A,'Campaign Data '!$B:$B)</f>
        <v>45453</v>
      </c>
      <c r="S102" s="16">
        <f>_xlfn.XLOOKUP($O102,'Campaign Data '!$A:$A,'Campaign Data '!$C:$C)</f>
        <v>45478</v>
      </c>
      <c r="T102" s="15" t="str">
        <f t="shared" si="4"/>
        <v>Before</v>
      </c>
    </row>
    <row r="103" spans="1:20" ht="15">
      <c r="A103" s="15" t="s">
        <v>247</v>
      </c>
      <c r="B103" s="15" t="s">
        <v>14</v>
      </c>
      <c r="C103" s="16">
        <v>45553</v>
      </c>
      <c r="D103" s="15" t="s">
        <v>16</v>
      </c>
      <c r="E103" s="15" t="s">
        <v>17</v>
      </c>
      <c r="F103" s="15">
        <v>1000</v>
      </c>
      <c r="G103" s="15">
        <v>978</v>
      </c>
      <c r="H103" s="15">
        <v>162</v>
      </c>
      <c r="I103" s="15">
        <v>6000</v>
      </c>
      <c r="J103" s="15">
        <v>5221</v>
      </c>
      <c r="K103" s="15">
        <v>223</v>
      </c>
      <c r="L103" s="15" t="s">
        <v>586</v>
      </c>
      <c r="M103" s="15" t="s">
        <v>584</v>
      </c>
      <c r="N103" s="15" t="str">
        <f t="shared" si="3"/>
        <v>MyntraTrend,MyntraFashion</v>
      </c>
      <c r="O103" s="15" t="s">
        <v>39</v>
      </c>
      <c r="P103" s="17">
        <f>(Post[[#This Row],[Likes]]+Post[[#This Row],[Shares]]+Post[[#This Row],[Comments]])/Post[[#This Row],[Impressions]]</f>
        <v>0.35666666666666669</v>
      </c>
      <c r="Q103" s="15">
        <f t="shared" si="5"/>
        <v>2140</v>
      </c>
      <c r="R103" s="16">
        <f>_xlfn.XLOOKUP($O103,'Campaign Data '!$A:$A,'Campaign Data '!$B:$B)</f>
        <v>45570</v>
      </c>
      <c r="S103" s="16">
        <f>_xlfn.XLOOKUP($O103,'Campaign Data '!$A:$A,'Campaign Data '!$C:$C)</f>
        <v>45601</v>
      </c>
      <c r="T103" s="15" t="str">
        <f t="shared" si="4"/>
        <v>Before</v>
      </c>
    </row>
    <row r="104" spans="1:20" ht="15">
      <c r="A104" s="15" t="s">
        <v>249</v>
      </c>
      <c r="B104" s="15" t="s">
        <v>41</v>
      </c>
      <c r="C104" s="16">
        <v>45454</v>
      </c>
      <c r="D104" s="15" t="s">
        <v>50</v>
      </c>
      <c r="E104" s="15" t="s">
        <v>51</v>
      </c>
      <c r="F104" s="15">
        <v>3689</v>
      </c>
      <c r="G104" s="15">
        <v>48</v>
      </c>
      <c r="H104" s="15">
        <v>306</v>
      </c>
      <c r="I104" s="15">
        <v>40579</v>
      </c>
      <c r="J104" s="15">
        <v>39588</v>
      </c>
      <c r="K104" s="15">
        <v>212</v>
      </c>
      <c r="L104" s="15" t="s">
        <v>586</v>
      </c>
      <c r="M104" s="15"/>
      <c r="N104" s="15" t="str">
        <f t="shared" si="3"/>
        <v>MyntraTrend</v>
      </c>
      <c r="O104" s="15" t="s">
        <v>19</v>
      </c>
      <c r="P104" s="17">
        <f>(Post[[#This Row],[Likes]]+Post[[#This Row],[Shares]]+Post[[#This Row],[Comments]])/Post[[#This Row],[Impressions]]</f>
        <v>9.9632815002833983E-2</v>
      </c>
      <c r="Q104" s="15">
        <f t="shared" si="5"/>
        <v>4043</v>
      </c>
      <c r="R104" s="16">
        <f>_xlfn.XLOOKUP($O104,'Campaign Data '!$A:$A,'Campaign Data '!$B:$B)</f>
        <v>45505</v>
      </c>
      <c r="S104" s="16">
        <f>_xlfn.XLOOKUP($O104,'Campaign Data '!$A:$A,'Campaign Data '!$C:$C)</f>
        <v>45535</v>
      </c>
      <c r="T104" s="15" t="str">
        <f t="shared" si="4"/>
        <v>Before</v>
      </c>
    </row>
    <row r="105" spans="1:20" ht="15">
      <c r="A105" s="15" t="s">
        <v>251</v>
      </c>
      <c r="B105" s="15" t="s">
        <v>27</v>
      </c>
      <c r="C105" s="16">
        <v>45739</v>
      </c>
      <c r="D105" s="15" t="s">
        <v>33</v>
      </c>
      <c r="E105" s="15" t="s">
        <v>34</v>
      </c>
      <c r="F105" s="15">
        <v>3655</v>
      </c>
      <c r="G105" s="15">
        <v>568</v>
      </c>
      <c r="H105" s="15">
        <v>286</v>
      </c>
      <c r="I105" s="15">
        <v>32895</v>
      </c>
      <c r="J105" s="15">
        <v>32015</v>
      </c>
      <c r="K105" s="15">
        <v>199</v>
      </c>
      <c r="L105" s="15" t="s">
        <v>586</v>
      </c>
      <c r="M105" s="15"/>
      <c r="N105" s="15" t="str">
        <f t="shared" si="3"/>
        <v>MyntraTrend</v>
      </c>
      <c r="O105" s="15" t="s">
        <v>56</v>
      </c>
      <c r="P105" s="17">
        <f>(Post[[#This Row],[Likes]]+Post[[#This Row],[Shares]]+Post[[#This Row],[Comments]])/Post[[#This Row],[Impressions]]</f>
        <v>0.13707250341997265</v>
      </c>
      <c r="Q105" s="15">
        <f t="shared" si="5"/>
        <v>4509</v>
      </c>
      <c r="R105" s="16">
        <f>_xlfn.XLOOKUP($O105,'Campaign Data '!$A:$A,'Campaign Data '!$B:$B)</f>
        <v>45667</v>
      </c>
      <c r="S105" s="16">
        <f>_xlfn.XLOOKUP($O105,'Campaign Data '!$A:$A,'Campaign Data '!$C:$C)</f>
        <v>45698</v>
      </c>
      <c r="T105" s="15" t="str">
        <f t="shared" si="4"/>
        <v>Before</v>
      </c>
    </row>
    <row r="106" spans="1:20" ht="15">
      <c r="A106" s="15" t="s">
        <v>253</v>
      </c>
      <c r="B106" s="15" t="s">
        <v>31</v>
      </c>
      <c r="C106" s="16">
        <v>45457</v>
      </c>
      <c r="D106" s="15" t="s">
        <v>43</v>
      </c>
      <c r="E106" s="15" t="s">
        <v>44</v>
      </c>
      <c r="F106" s="15">
        <v>498</v>
      </c>
      <c r="G106" s="15">
        <v>38</v>
      </c>
      <c r="H106" s="15">
        <v>42</v>
      </c>
      <c r="I106" s="15">
        <v>4482</v>
      </c>
      <c r="J106" s="15">
        <v>3647</v>
      </c>
      <c r="K106" s="15">
        <v>32</v>
      </c>
      <c r="L106" s="15" t="s">
        <v>585</v>
      </c>
      <c r="M106" s="15" t="s">
        <v>588</v>
      </c>
      <c r="N106" s="15" t="str">
        <f t="shared" si="3"/>
        <v>StyleWithMyntra,FashionDeals</v>
      </c>
      <c r="O106" s="15" t="s">
        <v>56</v>
      </c>
      <c r="P106" s="17">
        <f>(Post[[#This Row],[Likes]]+Post[[#This Row],[Shares]]+Post[[#This Row],[Comments]])/Post[[#This Row],[Impressions]]</f>
        <v>0.12896028558679162</v>
      </c>
      <c r="Q106" s="15">
        <f t="shared" si="5"/>
        <v>578</v>
      </c>
      <c r="R106" s="16">
        <f>_xlfn.XLOOKUP($O106,'Campaign Data '!$A:$A,'Campaign Data '!$B:$B)</f>
        <v>45667</v>
      </c>
      <c r="S106" s="16">
        <f>_xlfn.XLOOKUP($O106,'Campaign Data '!$A:$A,'Campaign Data '!$C:$C)</f>
        <v>45698</v>
      </c>
      <c r="T106" s="15" t="str">
        <f t="shared" si="4"/>
        <v>Before</v>
      </c>
    </row>
    <row r="107" spans="1:20" ht="15">
      <c r="A107" s="15" t="s">
        <v>255</v>
      </c>
      <c r="B107" s="15" t="s">
        <v>31</v>
      </c>
      <c r="C107" s="16">
        <v>45692</v>
      </c>
      <c r="D107" s="15" t="s">
        <v>50</v>
      </c>
      <c r="E107" s="15" t="s">
        <v>51</v>
      </c>
      <c r="F107" s="15">
        <v>4619</v>
      </c>
      <c r="G107" s="15">
        <v>821</v>
      </c>
      <c r="H107" s="15">
        <v>499</v>
      </c>
      <c r="I107" s="15">
        <v>69285</v>
      </c>
      <c r="J107" s="15">
        <v>69141</v>
      </c>
      <c r="K107" s="15">
        <v>298</v>
      </c>
      <c r="L107" s="15" t="s">
        <v>584</v>
      </c>
      <c r="M107" s="15"/>
      <c r="N107" s="15" t="str">
        <f t="shared" si="3"/>
        <v>MyntraFashion</v>
      </c>
      <c r="O107" s="15" t="s">
        <v>19</v>
      </c>
      <c r="P107" s="17">
        <f>(Post[[#This Row],[Likes]]+Post[[#This Row],[Shares]]+Post[[#This Row],[Comments]])/Post[[#This Row],[Impressions]]</f>
        <v>8.5718409468138843E-2</v>
      </c>
      <c r="Q107" s="15">
        <f t="shared" si="5"/>
        <v>5939</v>
      </c>
      <c r="R107" s="16">
        <f>_xlfn.XLOOKUP($O107,'Campaign Data '!$A:$A,'Campaign Data '!$B:$B)</f>
        <v>45505</v>
      </c>
      <c r="S107" s="16">
        <f>_xlfn.XLOOKUP($O107,'Campaign Data '!$A:$A,'Campaign Data '!$C:$C)</f>
        <v>45535</v>
      </c>
      <c r="T107" s="15" t="str">
        <f t="shared" si="4"/>
        <v>Before</v>
      </c>
    </row>
    <row r="108" spans="1:20" ht="15">
      <c r="A108" s="15" t="s">
        <v>257</v>
      </c>
      <c r="B108" s="15" t="s">
        <v>27</v>
      </c>
      <c r="C108" s="16">
        <v>45464</v>
      </c>
      <c r="D108" s="15" t="s">
        <v>50</v>
      </c>
      <c r="E108" s="15" t="s">
        <v>51</v>
      </c>
      <c r="F108" s="15">
        <v>4832</v>
      </c>
      <c r="G108" s="15">
        <v>893</v>
      </c>
      <c r="H108" s="15">
        <v>10</v>
      </c>
      <c r="I108" s="15">
        <v>91808</v>
      </c>
      <c r="J108" s="15">
        <v>91296</v>
      </c>
      <c r="K108" s="15">
        <v>182</v>
      </c>
      <c r="L108" s="15" t="s">
        <v>583</v>
      </c>
      <c r="M108" s="15" t="s">
        <v>585</v>
      </c>
      <c r="N108" s="15" t="str">
        <f t="shared" si="3"/>
        <v>MyntraSale,StyleWithMyntra</v>
      </c>
      <c r="O108" s="15" t="s">
        <v>39</v>
      </c>
      <c r="P108" s="17">
        <f>(Post[[#This Row],[Likes]]+Post[[#This Row],[Shares]]+Post[[#This Row],[Comments]])/Post[[#This Row],[Impressions]]</f>
        <v>6.2467323109097243E-2</v>
      </c>
      <c r="Q108" s="15">
        <f t="shared" si="5"/>
        <v>5735</v>
      </c>
      <c r="R108" s="16">
        <f>_xlfn.XLOOKUP($O108,'Campaign Data '!$A:$A,'Campaign Data '!$B:$B)</f>
        <v>45570</v>
      </c>
      <c r="S108" s="16">
        <f>_xlfn.XLOOKUP($O108,'Campaign Data '!$A:$A,'Campaign Data '!$C:$C)</f>
        <v>45601</v>
      </c>
      <c r="T108" s="15" t="str">
        <f t="shared" si="4"/>
        <v>Before</v>
      </c>
    </row>
    <row r="109" spans="1:20" ht="15">
      <c r="A109" s="15" t="s">
        <v>259</v>
      </c>
      <c r="B109" s="15" t="s">
        <v>14</v>
      </c>
      <c r="C109" s="16">
        <v>45741</v>
      </c>
      <c r="D109" s="15" t="s">
        <v>70</v>
      </c>
      <c r="E109" s="15" t="s">
        <v>71</v>
      </c>
      <c r="F109" s="15">
        <v>4050</v>
      </c>
      <c r="G109" s="15">
        <v>871</v>
      </c>
      <c r="H109" s="15">
        <v>347</v>
      </c>
      <c r="I109" s="15">
        <v>52650</v>
      </c>
      <c r="J109" s="15">
        <v>51755</v>
      </c>
      <c r="K109" s="15">
        <v>209</v>
      </c>
      <c r="L109" s="15" t="s">
        <v>585</v>
      </c>
      <c r="M109" s="15" t="s">
        <v>588</v>
      </c>
      <c r="N109" s="15" t="str">
        <f t="shared" si="3"/>
        <v>StyleWithMyntra,FashionDeals</v>
      </c>
      <c r="O109" s="15" t="s">
        <v>19</v>
      </c>
      <c r="P109" s="17">
        <f>(Post[[#This Row],[Likes]]+Post[[#This Row],[Shares]]+Post[[#This Row],[Comments]])/Post[[#This Row],[Impressions]]</f>
        <v>0.10005698005698006</v>
      </c>
      <c r="Q109" s="15">
        <f t="shared" si="5"/>
        <v>5268</v>
      </c>
      <c r="R109" s="16">
        <f>_xlfn.XLOOKUP($O109,'Campaign Data '!$A:$A,'Campaign Data '!$B:$B)</f>
        <v>45505</v>
      </c>
      <c r="S109" s="16">
        <f>_xlfn.XLOOKUP($O109,'Campaign Data '!$A:$A,'Campaign Data '!$C:$C)</f>
        <v>45535</v>
      </c>
      <c r="T109" s="15" t="str">
        <f t="shared" si="4"/>
        <v>Before</v>
      </c>
    </row>
    <row r="110" spans="1:20" ht="15">
      <c r="A110" s="15" t="s">
        <v>261</v>
      </c>
      <c r="B110" s="15" t="s">
        <v>14</v>
      </c>
      <c r="C110" s="16">
        <v>45512</v>
      </c>
      <c r="D110" s="15" t="s">
        <v>33</v>
      </c>
      <c r="E110" s="15" t="s">
        <v>34</v>
      </c>
      <c r="F110" s="15">
        <v>3649</v>
      </c>
      <c r="G110" s="15">
        <v>215</v>
      </c>
      <c r="H110" s="15">
        <v>413</v>
      </c>
      <c r="I110" s="15">
        <v>25543</v>
      </c>
      <c r="J110" s="15">
        <v>24963</v>
      </c>
      <c r="K110" s="15">
        <v>167</v>
      </c>
      <c r="L110" s="15" t="s">
        <v>584</v>
      </c>
      <c r="M110" s="15" t="s">
        <v>585</v>
      </c>
      <c r="N110" s="15" t="str">
        <f t="shared" si="3"/>
        <v>MyntraFashion,StyleWithMyntra</v>
      </c>
      <c r="O110" s="15" t="s">
        <v>19</v>
      </c>
      <c r="P110" s="17">
        <f>(Post[[#This Row],[Likes]]+Post[[#This Row],[Shares]]+Post[[#This Row],[Comments]])/Post[[#This Row],[Impressions]]</f>
        <v>0.16744313510550835</v>
      </c>
      <c r="Q110" s="15">
        <f t="shared" si="5"/>
        <v>4277</v>
      </c>
      <c r="R110" s="16">
        <f>_xlfn.XLOOKUP($O110,'Campaign Data '!$A:$A,'Campaign Data '!$B:$B)</f>
        <v>45505</v>
      </c>
      <c r="S110" s="16">
        <f>_xlfn.XLOOKUP($O110,'Campaign Data '!$A:$A,'Campaign Data '!$C:$C)</f>
        <v>45535</v>
      </c>
      <c r="T110" s="15" t="str">
        <f t="shared" si="4"/>
        <v>During</v>
      </c>
    </row>
    <row r="111" spans="1:20" ht="15">
      <c r="A111" s="15" t="s">
        <v>263</v>
      </c>
      <c r="B111" s="15" t="s">
        <v>31</v>
      </c>
      <c r="C111" s="16">
        <v>45502</v>
      </c>
      <c r="D111" s="15" t="s">
        <v>16</v>
      </c>
      <c r="E111" s="15" t="s">
        <v>17</v>
      </c>
      <c r="F111" s="15">
        <v>3523</v>
      </c>
      <c r="G111" s="15">
        <v>753</v>
      </c>
      <c r="H111" s="15">
        <v>482</v>
      </c>
      <c r="I111" s="15">
        <v>38753</v>
      </c>
      <c r="J111" s="15">
        <v>38579</v>
      </c>
      <c r="K111" s="15">
        <v>270</v>
      </c>
      <c r="L111" s="15" t="s">
        <v>588</v>
      </c>
      <c r="M111" s="15" t="s">
        <v>585</v>
      </c>
      <c r="N111" s="15" t="str">
        <f t="shared" si="3"/>
        <v>FashionDeals,StyleWithMyntra</v>
      </c>
      <c r="O111" s="15" t="s">
        <v>25</v>
      </c>
      <c r="P111" s="17">
        <f>(Post[[#This Row],[Likes]]+Post[[#This Row],[Shares]]+Post[[#This Row],[Comments]])/Post[[#This Row],[Impressions]]</f>
        <v>0.12277759141227776</v>
      </c>
      <c r="Q111" s="15">
        <f t="shared" si="5"/>
        <v>4758</v>
      </c>
      <c r="R111" s="16">
        <f>_xlfn.XLOOKUP($O111,'Campaign Data '!$A:$A,'Campaign Data '!$B:$B)</f>
        <v>45453</v>
      </c>
      <c r="S111" s="16">
        <f>_xlfn.XLOOKUP($O111,'Campaign Data '!$A:$A,'Campaign Data '!$C:$C)</f>
        <v>45478</v>
      </c>
      <c r="T111" s="15" t="str">
        <f t="shared" si="4"/>
        <v>Before</v>
      </c>
    </row>
    <row r="112" spans="1:20" ht="15">
      <c r="A112" s="15" t="s">
        <v>266</v>
      </c>
      <c r="B112" s="15" t="s">
        <v>27</v>
      </c>
      <c r="C112" s="16">
        <v>45619</v>
      </c>
      <c r="D112" s="15" t="s">
        <v>50</v>
      </c>
      <c r="E112" s="15" t="s">
        <v>51</v>
      </c>
      <c r="F112" s="15">
        <v>2719</v>
      </c>
      <c r="G112" s="15">
        <v>17</v>
      </c>
      <c r="H112" s="15">
        <v>285</v>
      </c>
      <c r="I112" s="15">
        <v>40785</v>
      </c>
      <c r="J112" s="15">
        <v>40281</v>
      </c>
      <c r="K112" s="15">
        <v>40</v>
      </c>
      <c r="L112" s="15" t="s">
        <v>584</v>
      </c>
      <c r="M112" s="15" t="s">
        <v>585</v>
      </c>
      <c r="N112" s="15" t="str">
        <f t="shared" si="3"/>
        <v>MyntraFashion,StyleWithMyntra</v>
      </c>
      <c r="O112" s="15" t="s">
        <v>39</v>
      </c>
      <c r="P112" s="17">
        <f>(Post[[#This Row],[Likes]]+Post[[#This Row],[Shares]]+Post[[#This Row],[Comments]])/Post[[#This Row],[Impressions]]</f>
        <v>7.4071349760941527E-2</v>
      </c>
      <c r="Q112" s="15">
        <f t="shared" si="5"/>
        <v>3021</v>
      </c>
      <c r="R112" s="16">
        <f>_xlfn.XLOOKUP($O112,'Campaign Data '!$A:$A,'Campaign Data '!$B:$B)</f>
        <v>45570</v>
      </c>
      <c r="S112" s="16">
        <f>_xlfn.XLOOKUP($O112,'Campaign Data '!$A:$A,'Campaign Data '!$C:$C)</f>
        <v>45601</v>
      </c>
      <c r="T112" s="15" t="str">
        <f t="shared" si="4"/>
        <v>Before</v>
      </c>
    </row>
    <row r="113" spans="1:20" ht="15">
      <c r="A113" s="15" t="s">
        <v>268</v>
      </c>
      <c r="B113" s="15" t="s">
        <v>14</v>
      </c>
      <c r="C113" s="16">
        <v>45570</v>
      </c>
      <c r="D113" s="15" t="s">
        <v>33</v>
      </c>
      <c r="E113" s="15" t="s">
        <v>34</v>
      </c>
      <c r="F113" s="15">
        <v>1957</v>
      </c>
      <c r="G113" s="15">
        <v>877</v>
      </c>
      <c r="H113" s="15">
        <v>238</v>
      </c>
      <c r="I113" s="15">
        <v>17613</v>
      </c>
      <c r="J113" s="15">
        <v>16865</v>
      </c>
      <c r="K113" s="15">
        <v>297</v>
      </c>
      <c r="L113" s="15" t="s">
        <v>584</v>
      </c>
      <c r="M113" s="15" t="s">
        <v>583</v>
      </c>
      <c r="N113" s="15" t="str">
        <f t="shared" si="3"/>
        <v>MyntraFashion,MyntraSale</v>
      </c>
      <c r="O113" s="15" t="s">
        <v>39</v>
      </c>
      <c r="P113" s="17">
        <f>(Post[[#This Row],[Likes]]+Post[[#This Row],[Shares]]+Post[[#This Row],[Comments]])/Post[[#This Row],[Impressions]]</f>
        <v>0.17441662408448305</v>
      </c>
      <c r="Q113" s="15">
        <f t="shared" si="5"/>
        <v>3072</v>
      </c>
      <c r="R113" s="16">
        <f>_xlfn.XLOOKUP($O113,'Campaign Data '!$A:$A,'Campaign Data '!$B:$B)</f>
        <v>45570</v>
      </c>
      <c r="S113" s="16">
        <f>_xlfn.XLOOKUP($O113,'Campaign Data '!$A:$A,'Campaign Data '!$C:$C)</f>
        <v>45601</v>
      </c>
      <c r="T113" s="15" t="str">
        <f t="shared" si="4"/>
        <v>During</v>
      </c>
    </row>
    <row r="114" spans="1:20" ht="15">
      <c r="A114" s="15" t="s">
        <v>270</v>
      </c>
      <c r="B114" s="15" t="s">
        <v>14</v>
      </c>
      <c r="C114" s="16">
        <v>45567</v>
      </c>
      <c r="D114" s="15" t="s">
        <v>43</v>
      </c>
      <c r="E114" s="15" t="s">
        <v>44</v>
      </c>
      <c r="F114" s="15">
        <v>4419</v>
      </c>
      <c r="G114" s="15">
        <v>236</v>
      </c>
      <c r="H114" s="15">
        <v>369</v>
      </c>
      <c r="I114" s="15">
        <v>44190</v>
      </c>
      <c r="J114" s="15">
        <v>43582</v>
      </c>
      <c r="K114" s="15">
        <v>10</v>
      </c>
      <c r="L114" s="15" t="s">
        <v>586</v>
      </c>
      <c r="M114" s="15"/>
      <c r="N114" s="15" t="str">
        <f t="shared" si="3"/>
        <v>MyntraTrend</v>
      </c>
      <c r="O114" s="15" t="s">
        <v>56</v>
      </c>
      <c r="P114" s="17">
        <f>(Post[[#This Row],[Likes]]+Post[[#This Row],[Shares]]+Post[[#This Row],[Comments]])/Post[[#This Row],[Impressions]]</f>
        <v>0.11369088028965829</v>
      </c>
      <c r="Q114" s="15">
        <f t="shared" si="5"/>
        <v>5024</v>
      </c>
      <c r="R114" s="16">
        <f>_xlfn.XLOOKUP($O114,'Campaign Data '!$A:$A,'Campaign Data '!$B:$B)</f>
        <v>45667</v>
      </c>
      <c r="S114" s="16">
        <f>_xlfn.XLOOKUP($O114,'Campaign Data '!$A:$A,'Campaign Data '!$C:$C)</f>
        <v>45698</v>
      </c>
      <c r="T114" s="15" t="str">
        <f t="shared" si="4"/>
        <v>Before</v>
      </c>
    </row>
    <row r="115" spans="1:20" ht="15">
      <c r="A115" s="15" t="s">
        <v>272</v>
      </c>
      <c r="B115" s="15" t="s">
        <v>14</v>
      </c>
      <c r="C115" s="16">
        <v>45610</v>
      </c>
      <c r="D115" s="15" t="s">
        <v>33</v>
      </c>
      <c r="E115" s="15" t="s">
        <v>34</v>
      </c>
      <c r="F115" s="15">
        <v>4000</v>
      </c>
      <c r="G115" s="15">
        <v>689</v>
      </c>
      <c r="H115" s="15">
        <v>488</v>
      </c>
      <c r="I115" s="15">
        <v>40000</v>
      </c>
      <c r="J115" s="15">
        <v>39569</v>
      </c>
      <c r="K115" s="15">
        <v>44</v>
      </c>
      <c r="L115" s="15" t="s">
        <v>588</v>
      </c>
      <c r="M115" s="15" t="s">
        <v>584</v>
      </c>
      <c r="N115" s="15" t="str">
        <f t="shared" si="3"/>
        <v>FashionDeals,MyntraFashion</v>
      </c>
      <c r="O115" s="15" t="s">
        <v>39</v>
      </c>
      <c r="P115" s="17">
        <f>(Post[[#This Row],[Likes]]+Post[[#This Row],[Shares]]+Post[[#This Row],[Comments]])/Post[[#This Row],[Impressions]]</f>
        <v>0.12942500000000001</v>
      </c>
      <c r="Q115" s="15">
        <f t="shared" si="5"/>
        <v>5177</v>
      </c>
      <c r="R115" s="16">
        <f>_xlfn.XLOOKUP($O115,'Campaign Data '!$A:$A,'Campaign Data '!$B:$B)</f>
        <v>45570</v>
      </c>
      <c r="S115" s="16">
        <f>_xlfn.XLOOKUP($O115,'Campaign Data '!$A:$A,'Campaign Data '!$C:$C)</f>
        <v>45601</v>
      </c>
      <c r="T115" s="15" t="str">
        <f t="shared" si="4"/>
        <v>Before</v>
      </c>
    </row>
    <row r="116" spans="1:20" ht="15">
      <c r="A116" s="15" t="s">
        <v>274</v>
      </c>
      <c r="B116" s="15" t="s">
        <v>14</v>
      </c>
      <c r="C116" s="16">
        <v>45788</v>
      </c>
      <c r="D116" s="15" t="s">
        <v>50</v>
      </c>
      <c r="E116" s="15" t="s">
        <v>51</v>
      </c>
      <c r="F116" s="15">
        <v>2493</v>
      </c>
      <c r="G116" s="15">
        <v>97</v>
      </c>
      <c r="H116" s="15">
        <v>44</v>
      </c>
      <c r="I116" s="15">
        <v>42381</v>
      </c>
      <c r="J116" s="15">
        <v>41991</v>
      </c>
      <c r="K116" s="15">
        <v>242</v>
      </c>
      <c r="L116" s="15" t="s">
        <v>583</v>
      </c>
      <c r="M116" s="15" t="s">
        <v>585</v>
      </c>
      <c r="N116" s="15" t="str">
        <f t="shared" si="3"/>
        <v>MyntraSale,StyleWithMyntra</v>
      </c>
      <c r="O116" s="15" t="s">
        <v>19</v>
      </c>
      <c r="P116" s="17">
        <f>(Post[[#This Row],[Likes]]+Post[[#This Row],[Shares]]+Post[[#This Row],[Comments]])/Post[[#This Row],[Impressions]]</f>
        <v>6.2150491965739366E-2</v>
      </c>
      <c r="Q116" s="15">
        <f t="shared" si="5"/>
        <v>2634</v>
      </c>
      <c r="R116" s="16">
        <f>_xlfn.XLOOKUP($O116,'Campaign Data '!$A:$A,'Campaign Data '!$B:$B)</f>
        <v>45505</v>
      </c>
      <c r="S116" s="16">
        <f>_xlfn.XLOOKUP($O116,'Campaign Data '!$A:$A,'Campaign Data '!$C:$C)</f>
        <v>45535</v>
      </c>
      <c r="T116" s="15" t="str">
        <f t="shared" si="4"/>
        <v>Before</v>
      </c>
    </row>
    <row r="117" spans="1:20" ht="15">
      <c r="A117" s="15" t="s">
        <v>276</v>
      </c>
      <c r="B117" s="15" t="s">
        <v>27</v>
      </c>
      <c r="C117" s="16">
        <v>45734</v>
      </c>
      <c r="D117" s="15" t="s">
        <v>16</v>
      </c>
      <c r="E117" s="15" t="s">
        <v>17</v>
      </c>
      <c r="F117" s="15">
        <v>3704</v>
      </c>
      <c r="G117" s="15">
        <v>186</v>
      </c>
      <c r="H117" s="15">
        <v>458</v>
      </c>
      <c r="I117" s="15">
        <v>25928</v>
      </c>
      <c r="J117" s="15">
        <v>25081</v>
      </c>
      <c r="K117" s="15">
        <v>131</v>
      </c>
      <c r="L117" s="15" t="s">
        <v>585</v>
      </c>
      <c r="M117" s="15"/>
      <c r="N117" s="15" t="str">
        <f t="shared" si="3"/>
        <v>StyleWithMyntra</v>
      </c>
      <c r="O117" s="15" t="s">
        <v>19</v>
      </c>
      <c r="P117" s="17">
        <f>(Post[[#This Row],[Likes]]+Post[[#This Row],[Shares]]+Post[[#This Row],[Comments]])/Post[[#This Row],[Impressions]]</f>
        <v>0.16769515581610614</v>
      </c>
      <c r="Q117" s="15">
        <f t="shared" si="5"/>
        <v>4348</v>
      </c>
      <c r="R117" s="16">
        <f>_xlfn.XLOOKUP($O117,'Campaign Data '!$A:$A,'Campaign Data '!$B:$B)</f>
        <v>45505</v>
      </c>
      <c r="S117" s="16">
        <f>_xlfn.XLOOKUP($O117,'Campaign Data '!$A:$A,'Campaign Data '!$C:$C)</f>
        <v>45535</v>
      </c>
      <c r="T117" s="15" t="str">
        <f t="shared" si="4"/>
        <v>Before</v>
      </c>
    </row>
    <row r="118" spans="1:20" ht="15">
      <c r="A118" s="15" t="s">
        <v>278</v>
      </c>
      <c r="B118" s="15" t="s">
        <v>14</v>
      </c>
      <c r="C118" s="16">
        <v>45600</v>
      </c>
      <c r="D118" s="15" t="s">
        <v>50</v>
      </c>
      <c r="E118" s="15" t="s">
        <v>51</v>
      </c>
      <c r="F118" s="15">
        <v>1606</v>
      </c>
      <c r="G118" s="15">
        <v>451</v>
      </c>
      <c r="H118" s="15">
        <v>405</v>
      </c>
      <c r="I118" s="15">
        <v>20878</v>
      </c>
      <c r="J118" s="15">
        <v>20190</v>
      </c>
      <c r="K118" s="15">
        <v>219</v>
      </c>
      <c r="L118" s="15" t="s">
        <v>583</v>
      </c>
      <c r="M118" s="15" t="s">
        <v>585</v>
      </c>
      <c r="N118" s="15" t="str">
        <f t="shared" si="3"/>
        <v>MyntraSale,StyleWithMyntra</v>
      </c>
      <c r="O118" s="15" t="s">
        <v>25</v>
      </c>
      <c r="P118" s="17">
        <f>(Post[[#This Row],[Likes]]+Post[[#This Row],[Shares]]+Post[[#This Row],[Comments]])/Post[[#This Row],[Impressions]]</f>
        <v>0.11792317271769326</v>
      </c>
      <c r="Q118" s="15">
        <f t="shared" si="5"/>
        <v>2462</v>
      </c>
      <c r="R118" s="16">
        <f>_xlfn.XLOOKUP($O118,'Campaign Data '!$A:$A,'Campaign Data '!$B:$B)</f>
        <v>45453</v>
      </c>
      <c r="S118" s="16">
        <f>_xlfn.XLOOKUP($O118,'Campaign Data '!$A:$A,'Campaign Data '!$C:$C)</f>
        <v>45478</v>
      </c>
      <c r="T118" s="15" t="str">
        <f t="shared" si="4"/>
        <v>Before</v>
      </c>
    </row>
    <row r="119" spans="1:20" ht="15">
      <c r="A119" s="15" t="s">
        <v>280</v>
      </c>
      <c r="B119" s="15" t="s">
        <v>41</v>
      </c>
      <c r="C119" s="16">
        <v>45600</v>
      </c>
      <c r="D119" s="15" t="s">
        <v>50</v>
      </c>
      <c r="E119" s="15" t="s">
        <v>51</v>
      </c>
      <c r="F119" s="15">
        <v>4551</v>
      </c>
      <c r="G119" s="15">
        <v>714</v>
      </c>
      <c r="H119" s="15">
        <v>207</v>
      </c>
      <c r="I119" s="15">
        <v>68265</v>
      </c>
      <c r="J119" s="15">
        <v>67754</v>
      </c>
      <c r="K119" s="15">
        <v>57</v>
      </c>
      <c r="L119" s="15" t="s">
        <v>586</v>
      </c>
      <c r="M119" s="15"/>
      <c r="N119" s="15" t="str">
        <f t="shared" si="3"/>
        <v>MyntraTrend</v>
      </c>
      <c r="O119" s="15" t="s">
        <v>25</v>
      </c>
      <c r="P119" s="17">
        <f>(Post[[#This Row],[Likes]]+Post[[#This Row],[Shares]]+Post[[#This Row],[Comments]])/Post[[#This Row],[Impressions]]</f>
        <v>8.0158206987475278E-2</v>
      </c>
      <c r="Q119" s="15">
        <f t="shared" si="5"/>
        <v>5472</v>
      </c>
      <c r="R119" s="16">
        <f>_xlfn.XLOOKUP($O119,'Campaign Data '!$A:$A,'Campaign Data '!$B:$B)</f>
        <v>45453</v>
      </c>
      <c r="S119" s="16">
        <f>_xlfn.XLOOKUP($O119,'Campaign Data '!$A:$A,'Campaign Data '!$C:$C)</f>
        <v>45478</v>
      </c>
      <c r="T119" s="15" t="str">
        <f t="shared" si="4"/>
        <v>Before</v>
      </c>
    </row>
    <row r="120" spans="1:20" ht="15">
      <c r="A120" s="15" t="s">
        <v>281</v>
      </c>
      <c r="B120" s="15" t="s">
        <v>31</v>
      </c>
      <c r="C120" s="16">
        <v>45695</v>
      </c>
      <c r="D120" s="15" t="s">
        <v>16</v>
      </c>
      <c r="E120" s="15" t="s">
        <v>17</v>
      </c>
      <c r="F120" s="15">
        <v>1970</v>
      </c>
      <c r="G120" s="15">
        <v>675</v>
      </c>
      <c r="H120" s="15">
        <v>478</v>
      </c>
      <c r="I120" s="15">
        <v>9850</v>
      </c>
      <c r="J120" s="15">
        <v>8924</v>
      </c>
      <c r="K120" s="15">
        <v>117</v>
      </c>
      <c r="L120" s="15" t="s">
        <v>586</v>
      </c>
      <c r="M120" s="15"/>
      <c r="N120" s="15" t="str">
        <f t="shared" si="3"/>
        <v>MyntraTrend</v>
      </c>
      <c r="O120" s="15" t="s">
        <v>56</v>
      </c>
      <c r="P120" s="17">
        <f>(Post[[#This Row],[Likes]]+Post[[#This Row],[Shares]]+Post[[#This Row],[Comments]])/Post[[#This Row],[Impressions]]</f>
        <v>0.31705583756345179</v>
      </c>
      <c r="Q120" s="15">
        <f t="shared" si="5"/>
        <v>3123</v>
      </c>
      <c r="R120" s="16">
        <f>_xlfn.XLOOKUP($O120,'Campaign Data '!$A:$A,'Campaign Data '!$B:$B)</f>
        <v>45667</v>
      </c>
      <c r="S120" s="16">
        <f>_xlfn.XLOOKUP($O120,'Campaign Data '!$A:$A,'Campaign Data '!$C:$C)</f>
        <v>45698</v>
      </c>
      <c r="T120" s="15" t="str">
        <f t="shared" si="4"/>
        <v>During</v>
      </c>
    </row>
    <row r="121" spans="1:20" ht="15">
      <c r="A121" s="15" t="s">
        <v>283</v>
      </c>
      <c r="B121" s="15" t="s">
        <v>41</v>
      </c>
      <c r="C121" s="16">
        <v>45586</v>
      </c>
      <c r="D121" s="15" t="s">
        <v>33</v>
      </c>
      <c r="E121" s="15" t="s">
        <v>34</v>
      </c>
      <c r="F121" s="15">
        <v>780</v>
      </c>
      <c r="G121" s="15">
        <v>928</v>
      </c>
      <c r="H121" s="15">
        <v>301</v>
      </c>
      <c r="I121" s="15">
        <v>8580</v>
      </c>
      <c r="J121" s="15">
        <v>8081</v>
      </c>
      <c r="K121" s="15">
        <v>91</v>
      </c>
      <c r="L121" s="15" t="s">
        <v>583</v>
      </c>
      <c r="M121" s="15" t="s">
        <v>584</v>
      </c>
      <c r="N121" s="15" t="str">
        <f t="shared" si="3"/>
        <v>MyntraSale,MyntraFashion</v>
      </c>
      <c r="O121" s="15" t="s">
        <v>56</v>
      </c>
      <c r="P121" s="17">
        <f>(Post[[#This Row],[Likes]]+Post[[#This Row],[Shares]]+Post[[#This Row],[Comments]])/Post[[#This Row],[Impressions]]</f>
        <v>0.23414918414918415</v>
      </c>
      <c r="Q121" s="15">
        <f t="shared" si="5"/>
        <v>2009</v>
      </c>
      <c r="R121" s="16">
        <f>_xlfn.XLOOKUP($O121,'Campaign Data '!$A:$A,'Campaign Data '!$B:$B)</f>
        <v>45667</v>
      </c>
      <c r="S121" s="16">
        <f>_xlfn.XLOOKUP($O121,'Campaign Data '!$A:$A,'Campaign Data '!$C:$C)</f>
        <v>45698</v>
      </c>
      <c r="T121" s="15" t="str">
        <f t="shared" si="4"/>
        <v>Before</v>
      </c>
    </row>
    <row r="122" spans="1:20" ht="15">
      <c r="A122" s="15" t="s">
        <v>284</v>
      </c>
      <c r="B122" s="15" t="s">
        <v>31</v>
      </c>
      <c r="C122" s="16">
        <v>45502</v>
      </c>
      <c r="D122" s="15" t="s">
        <v>33</v>
      </c>
      <c r="E122" s="15" t="s">
        <v>34</v>
      </c>
      <c r="F122" s="15">
        <v>498</v>
      </c>
      <c r="G122" s="15">
        <v>701</v>
      </c>
      <c r="H122" s="15">
        <v>412</v>
      </c>
      <c r="I122" s="15">
        <v>4980</v>
      </c>
      <c r="J122" s="15">
        <v>4185</v>
      </c>
      <c r="K122" s="15">
        <v>185</v>
      </c>
      <c r="L122" s="15" t="s">
        <v>588</v>
      </c>
      <c r="M122" s="15" t="s">
        <v>585</v>
      </c>
      <c r="N122" s="15" t="str">
        <f t="shared" si="3"/>
        <v>FashionDeals,StyleWithMyntra</v>
      </c>
      <c r="O122" s="15" t="s">
        <v>56</v>
      </c>
      <c r="P122" s="17">
        <f>(Post[[#This Row],[Likes]]+Post[[#This Row],[Shares]]+Post[[#This Row],[Comments]])/Post[[#This Row],[Impressions]]</f>
        <v>0.32349397590361445</v>
      </c>
      <c r="Q122" s="15">
        <f t="shared" si="5"/>
        <v>1611</v>
      </c>
      <c r="R122" s="16">
        <f>_xlfn.XLOOKUP($O122,'Campaign Data '!$A:$A,'Campaign Data '!$B:$B)</f>
        <v>45667</v>
      </c>
      <c r="S122" s="16">
        <f>_xlfn.XLOOKUP($O122,'Campaign Data '!$A:$A,'Campaign Data '!$C:$C)</f>
        <v>45698</v>
      </c>
      <c r="T122" s="15" t="str">
        <f t="shared" si="4"/>
        <v>Before</v>
      </c>
    </row>
    <row r="123" spans="1:20" ht="15">
      <c r="A123" s="15" t="s">
        <v>285</v>
      </c>
      <c r="B123" s="15" t="s">
        <v>31</v>
      </c>
      <c r="C123" s="16">
        <v>45567</v>
      </c>
      <c r="D123" s="15" t="s">
        <v>22</v>
      </c>
      <c r="E123" s="15" t="s">
        <v>23</v>
      </c>
      <c r="F123" s="15">
        <v>3432</v>
      </c>
      <c r="G123" s="15">
        <v>869</v>
      </c>
      <c r="H123" s="15">
        <v>123</v>
      </c>
      <c r="I123" s="15">
        <v>54912</v>
      </c>
      <c r="J123" s="15">
        <v>53916</v>
      </c>
      <c r="K123" s="15">
        <v>264</v>
      </c>
      <c r="L123" s="15" t="s">
        <v>584</v>
      </c>
      <c r="M123" s="15" t="s">
        <v>586</v>
      </c>
      <c r="N123" s="15" t="str">
        <f t="shared" si="3"/>
        <v>MyntraFashion,MyntraTrend</v>
      </c>
      <c r="O123" s="15" t="s">
        <v>25</v>
      </c>
      <c r="P123" s="17">
        <f>(Post[[#This Row],[Likes]]+Post[[#This Row],[Shares]]+Post[[#This Row],[Comments]])/Post[[#This Row],[Impressions]]</f>
        <v>8.0565268065268064E-2</v>
      </c>
      <c r="Q123" s="15">
        <f t="shared" si="5"/>
        <v>4424</v>
      </c>
      <c r="R123" s="16">
        <f>_xlfn.XLOOKUP($O123,'Campaign Data '!$A:$A,'Campaign Data '!$B:$B)</f>
        <v>45453</v>
      </c>
      <c r="S123" s="16">
        <f>_xlfn.XLOOKUP($O123,'Campaign Data '!$A:$A,'Campaign Data '!$C:$C)</f>
        <v>45478</v>
      </c>
      <c r="T123" s="15" t="str">
        <f t="shared" si="4"/>
        <v>Before</v>
      </c>
    </row>
    <row r="124" spans="1:20" ht="15">
      <c r="A124" s="15" t="s">
        <v>287</v>
      </c>
      <c r="B124" s="15" t="s">
        <v>31</v>
      </c>
      <c r="C124" s="16">
        <v>45457</v>
      </c>
      <c r="D124" s="15" t="s">
        <v>33</v>
      </c>
      <c r="E124" s="15" t="s">
        <v>34</v>
      </c>
      <c r="F124" s="15">
        <v>4363</v>
      </c>
      <c r="G124" s="15">
        <v>649</v>
      </c>
      <c r="H124" s="15">
        <v>140</v>
      </c>
      <c r="I124" s="15">
        <v>21815</v>
      </c>
      <c r="J124" s="15">
        <v>21481</v>
      </c>
      <c r="K124" s="15">
        <v>157</v>
      </c>
      <c r="L124" s="15" t="s">
        <v>583</v>
      </c>
      <c r="M124" s="15" t="s">
        <v>584</v>
      </c>
      <c r="N124" s="15" t="str">
        <f t="shared" si="3"/>
        <v>MyntraSale,MyntraFashion</v>
      </c>
      <c r="O124" s="15" t="s">
        <v>25</v>
      </c>
      <c r="P124" s="17">
        <f>(Post[[#This Row],[Likes]]+Post[[#This Row],[Shares]]+Post[[#This Row],[Comments]])/Post[[#This Row],[Impressions]]</f>
        <v>0.23616777446710979</v>
      </c>
      <c r="Q124" s="15">
        <f t="shared" si="5"/>
        <v>5152</v>
      </c>
      <c r="R124" s="16">
        <f>_xlfn.XLOOKUP($O124,'Campaign Data '!$A:$A,'Campaign Data '!$B:$B)</f>
        <v>45453</v>
      </c>
      <c r="S124" s="16">
        <f>_xlfn.XLOOKUP($O124,'Campaign Data '!$A:$A,'Campaign Data '!$C:$C)</f>
        <v>45478</v>
      </c>
      <c r="T124" s="15" t="str">
        <f t="shared" si="4"/>
        <v>During</v>
      </c>
    </row>
    <row r="125" spans="1:20" ht="15">
      <c r="A125" s="15" t="s">
        <v>288</v>
      </c>
      <c r="B125" s="15" t="s">
        <v>27</v>
      </c>
      <c r="C125" s="16">
        <v>45753</v>
      </c>
      <c r="D125" s="15" t="s">
        <v>43</v>
      </c>
      <c r="E125" s="15" t="s">
        <v>44</v>
      </c>
      <c r="F125" s="15">
        <v>736</v>
      </c>
      <c r="G125" s="15">
        <v>771</v>
      </c>
      <c r="H125" s="15">
        <v>225</v>
      </c>
      <c r="I125" s="15">
        <v>5152</v>
      </c>
      <c r="J125" s="15">
        <v>4706</v>
      </c>
      <c r="K125" s="15">
        <v>19</v>
      </c>
      <c r="L125" s="15" t="s">
        <v>585</v>
      </c>
      <c r="M125" s="15"/>
      <c r="N125" s="15" t="str">
        <f t="shared" si="3"/>
        <v>StyleWithMyntra</v>
      </c>
      <c r="O125" s="15" t="s">
        <v>39</v>
      </c>
      <c r="P125" s="17">
        <f>(Post[[#This Row],[Likes]]+Post[[#This Row],[Shares]]+Post[[#This Row],[Comments]])/Post[[#This Row],[Impressions]]</f>
        <v>0.33618012422360249</v>
      </c>
      <c r="Q125" s="15">
        <f t="shared" si="5"/>
        <v>1732</v>
      </c>
      <c r="R125" s="16">
        <f>_xlfn.XLOOKUP($O125,'Campaign Data '!$A:$A,'Campaign Data '!$B:$B)</f>
        <v>45570</v>
      </c>
      <c r="S125" s="16">
        <f>_xlfn.XLOOKUP($O125,'Campaign Data '!$A:$A,'Campaign Data '!$C:$C)</f>
        <v>45601</v>
      </c>
      <c r="T125" s="15" t="str">
        <f t="shared" si="4"/>
        <v>Before</v>
      </c>
    </row>
    <row r="126" spans="1:20" ht="15">
      <c r="A126" s="15" t="s">
        <v>290</v>
      </c>
      <c r="B126" s="15" t="s">
        <v>14</v>
      </c>
      <c r="C126" s="16">
        <v>45543</v>
      </c>
      <c r="D126" s="15" t="s">
        <v>43</v>
      </c>
      <c r="E126" s="15" t="s">
        <v>44</v>
      </c>
      <c r="F126" s="15">
        <v>3811</v>
      </c>
      <c r="G126" s="15">
        <v>866</v>
      </c>
      <c r="H126" s="15">
        <v>216</v>
      </c>
      <c r="I126" s="15">
        <v>34299</v>
      </c>
      <c r="J126" s="15">
        <v>34088</v>
      </c>
      <c r="K126" s="15">
        <v>233</v>
      </c>
      <c r="L126" s="15" t="s">
        <v>585</v>
      </c>
      <c r="M126" s="15"/>
      <c r="N126" s="15" t="str">
        <f t="shared" si="3"/>
        <v>StyleWithMyntra</v>
      </c>
      <c r="O126" s="15" t="s">
        <v>39</v>
      </c>
      <c r="P126" s="17">
        <f>(Post[[#This Row],[Likes]]+Post[[#This Row],[Shares]]+Post[[#This Row],[Comments]])/Post[[#This Row],[Impressions]]</f>
        <v>0.14265722032712325</v>
      </c>
      <c r="Q126" s="15">
        <f t="shared" si="5"/>
        <v>4893</v>
      </c>
      <c r="R126" s="16">
        <f>_xlfn.XLOOKUP($O126,'Campaign Data '!$A:$A,'Campaign Data '!$B:$B)</f>
        <v>45570</v>
      </c>
      <c r="S126" s="16">
        <f>_xlfn.XLOOKUP($O126,'Campaign Data '!$A:$A,'Campaign Data '!$C:$C)</f>
        <v>45601</v>
      </c>
      <c r="T126" s="15" t="str">
        <f t="shared" si="4"/>
        <v>Before</v>
      </c>
    </row>
    <row r="127" spans="1:20" ht="15">
      <c r="A127" s="15" t="s">
        <v>292</v>
      </c>
      <c r="B127" s="15" t="s">
        <v>31</v>
      </c>
      <c r="C127" s="16">
        <v>45744</v>
      </c>
      <c r="D127" s="15" t="s">
        <v>43</v>
      </c>
      <c r="E127" s="15" t="s">
        <v>44</v>
      </c>
      <c r="F127" s="15">
        <v>4158</v>
      </c>
      <c r="G127" s="15">
        <v>167</v>
      </c>
      <c r="H127" s="15">
        <v>241</v>
      </c>
      <c r="I127" s="15">
        <v>45738</v>
      </c>
      <c r="J127" s="15">
        <v>45183</v>
      </c>
      <c r="K127" s="15">
        <v>142</v>
      </c>
      <c r="L127" s="15" t="s">
        <v>584</v>
      </c>
      <c r="M127" s="15"/>
      <c r="N127" s="15" t="str">
        <f t="shared" si="3"/>
        <v>MyntraFashion</v>
      </c>
      <c r="O127" s="15" t="s">
        <v>25</v>
      </c>
      <c r="P127" s="17">
        <f>(Post[[#This Row],[Likes]]+Post[[#This Row],[Shares]]+Post[[#This Row],[Comments]])/Post[[#This Row],[Impressions]]</f>
        <v>9.9829463465827106E-2</v>
      </c>
      <c r="Q127" s="15">
        <f t="shared" si="5"/>
        <v>4566</v>
      </c>
      <c r="R127" s="16">
        <f>_xlfn.XLOOKUP($O127,'Campaign Data '!$A:$A,'Campaign Data '!$B:$B)</f>
        <v>45453</v>
      </c>
      <c r="S127" s="16">
        <f>_xlfn.XLOOKUP($O127,'Campaign Data '!$A:$A,'Campaign Data '!$C:$C)</f>
        <v>45478</v>
      </c>
      <c r="T127" s="15" t="str">
        <f t="shared" si="4"/>
        <v>Before</v>
      </c>
    </row>
    <row r="128" spans="1:20" ht="15">
      <c r="A128" s="15" t="s">
        <v>293</v>
      </c>
      <c r="B128" s="15" t="s">
        <v>41</v>
      </c>
      <c r="C128" s="16">
        <v>45684</v>
      </c>
      <c r="D128" s="15" t="s">
        <v>16</v>
      </c>
      <c r="E128" s="15" t="s">
        <v>17</v>
      </c>
      <c r="F128" s="15">
        <v>3452</v>
      </c>
      <c r="G128" s="15">
        <v>652</v>
      </c>
      <c r="H128" s="15">
        <v>442</v>
      </c>
      <c r="I128" s="15">
        <v>65588</v>
      </c>
      <c r="J128" s="15">
        <v>65049</v>
      </c>
      <c r="K128" s="15">
        <v>158</v>
      </c>
      <c r="L128" s="15" t="s">
        <v>583</v>
      </c>
      <c r="M128" s="15" t="s">
        <v>585</v>
      </c>
      <c r="N128" s="15" t="str">
        <f t="shared" si="3"/>
        <v>MyntraSale,StyleWithMyntra</v>
      </c>
      <c r="O128" s="15" t="s">
        <v>19</v>
      </c>
      <c r="P128" s="17">
        <f>(Post[[#This Row],[Likes]]+Post[[#This Row],[Shares]]+Post[[#This Row],[Comments]])/Post[[#This Row],[Impressions]]</f>
        <v>6.9311459413307311E-2</v>
      </c>
      <c r="Q128" s="15">
        <f t="shared" si="5"/>
        <v>4546</v>
      </c>
      <c r="R128" s="16">
        <f>_xlfn.XLOOKUP($O128,'Campaign Data '!$A:$A,'Campaign Data '!$B:$B)</f>
        <v>45505</v>
      </c>
      <c r="S128" s="16">
        <f>_xlfn.XLOOKUP($O128,'Campaign Data '!$A:$A,'Campaign Data '!$C:$C)</f>
        <v>45535</v>
      </c>
      <c r="T128" s="15" t="str">
        <f t="shared" si="4"/>
        <v>Before</v>
      </c>
    </row>
    <row r="129" spans="1:20" ht="15">
      <c r="A129" s="15" t="s">
        <v>294</v>
      </c>
      <c r="B129" s="15" t="s">
        <v>14</v>
      </c>
      <c r="C129" s="16">
        <v>45667</v>
      </c>
      <c r="D129" s="15" t="s">
        <v>50</v>
      </c>
      <c r="E129" s="15" t="s">
        <v>51</v>
      </c>
      <c r="F129" s="15">
        <v>3092</v>
      </c>
      <c r="G129" s="15">
        <v>106</v>
      </c>
      <c r="H129" s="15">
        <v>291</v>
      </c>
      <c r="I129" s="15">
        <v>27828</v>
      </c>
      <c r="J129" s="15">
        <v>27217</v>
      </c>
      <c r="K129" s="15">
        <v>102</v>
      </c>
      <c r="L129" s="15" t="s">
        <v>585</v>
      </c>
      <c r="M129" s="15"/>
      <c r="N129" s="15" t="str">
        <f t="shared" si="3"/>
        <v>StyleWithMyntra</v>
      </c>
      <c r="O129" s="15" t="s">
        <v>56</v>
      </c>
      <c r="P129" s="17">
        <f>(Post[[#This Row],[Likes]]+Post[[#This Row],[Shares]]+Post[[#This Row],[Comments]])/Post[[#This Row],[Impressions]]</f>
        <v>0.12537731780940059</v>
      </c>
      <c r="Q129" s="15">
        <f t="shared" si="5"/>
        <v>3489</v>
      </c>
      <c r="R129" s="16">
        <f>_xlfn.XLOOKUP($O129,'Campaign Data '!$A:$A,'Campaign Data '!$B:$B)</f>
        <v>45667</v>
      </c>
      <c r="S129" s="16">
        <f>_xlfn.XLOOKUP($O129,'Campaign Data '!$A:$A,'Campaign Data '!$C:$C)</f>
        <v>45698</v>
      </c>
      <c r="T129" s="15" t="str">
        <f t="shared" si="4"/>
        <v>During</v>
      </c>
    </row>
    <row r="130" spans="1:20" ht="15">
      <c r="A130" s="15" t="s">
        <v>295</v>
      </c>
      <c r="B130" s="15" t="s">
        <v>14</v>
      </c>
      <c r="C130" s="16">
        <v>45494</v>
      </c>
      <c r="D130" s="15" t="s">
        <v>22</v>
      </c>
      <c r="E130" s="15" t="s">
        <v>23</v>
      </c>
      <c r="F130" s="15">
        <v>2147</v>
      </c>
      <c r="G130" s="15">
        <v>430</v>
      </c>
      <c r="H130" s="15">
        <v>393</v>
      </c>
      <c r="I130" s="15">
        <v>17176</v>
      </c>
      <c r="J130" s="15">
        <v>16483</v>
      </c>
      <c r="K130" s="15">
        <v>170</v>
      </c>
      <c r="L130" s="15" t="s">
        <v>588</v>
      </c>
      <c r="M130" s="15"/>
      <c r="N130" s="15" t="str">
        <f t="shared" ref="N130:N193" si="6">_xlfn.TEXTJOIN(",",TRUE,L130,M130)</f>
        <v>FashionDeals</v>
      </c>
      <c r="O130" s="15" t="s">
        <v>56</v>
      </c>
      <c r="P130" s="17">
        <f>(Post[[#This Row],[Likes]]+Post[[#This Row],[Shares]]+Post[[#This Row],[Comments]])/Post[[#This Row],[Impressions]]</f>
        <v>0.17291569632044715</v>
      </c>
      <c r="Q130" s="15">
        <f t="shared" si="5"/>
        <v>2970</v>
      </c>
      <c r="R130" s="16">
        <f>_xlfn.XLOOKUP($O130,'Campaign Data '!$A:$A,'Campaign Data '!$B:$B)</f>
        <v>45667</v>
      </c>
      <c r="S130" s="16">
        <f>_xlfn.XLOOKUP($O130,'Campaign Data '!$A:$A,'Campaign Data '!$C:$C)</f>
        <v>45698</v>
      </c>
      <c r="T130" s="15" t="str">
        <f t="shared" ref="T130:T193" si="7">+IF(AND($C130&gt;=$R130,$C130&lt;=$S130),"During","Before")</f>
        <v>Before</v>
      </c>
    </row>
    <row r="131" spans="1:20" ht="15">
      <c r="A131" s="15" t="s">
        <v>296</v>
      </c>
      <c r="B131" s="15" t="s">
        <v>27</v>
      </c>
      <c r="C131" s="16">
        <v>45564</v>
      </c>
      <c r="D131" s="15" t="s">
        <v>16</v>
      </c>
      <c r="E131" s="15" t="s">
        <v>17</v>
      </c>
      <c r="F131" s="15">
        <v>2936</v>
      </c>
      <c r="G131" s="15">
        <v>439</v>
      </c>
      <c r="H131" s="15">
        <v>44</v>
      </c>
      <c r="I131" s="15">
        <v>38168</v>
      </c>
      <c r="J131" s="15">
        <v>37571</v>
      </c>
      <c r="K131" s="15">
        <v>22</v>
      </c>
      <c r="L131" s="15" t="s">
        <v>583</v>
      </c>
      <c r="M131" s="15"/>
      <c r="N131" s="15" t="str">
        <f t="shared" si="6"/>
        <v>MyntraSale</v>
      </c>
      <c r="O131" s="15" t="s">
        <v>39</v>
      </c>
      <c r="P131" s="17">
        <f>(Post[[#This Row],[Likes]]+Post[[#This Row],[Shares]]+Post[[#This Row],[Comments]])/Post[[#This Row],[Impressions]]</f>
        <v>8.9577656675749323E-2</v>
      </c>
      <c r="Q131" s="15">
        <f t="shared" ref="Q131:Q194" si="8">F131+G131+H131</f>
        <v>3419</v>
      </c>
      <c r="R131" s="16">
        <f>_xlfn.XLOOKUP($O131,'Campaign Data '!$A:$A,'Campaign Data '!$B:$B)</f>
        <v>45570</v>
      </c>
      <c r="S131" s="16">
        <f>_xlfn.XLOOKUP($O131,'Campaign Data '!$A:$A,'Campaign Data '!$C:$C)</f>
        <v>45601</v>
      </c>
      <c r="T131" s="15" t="str">
        <f t="shared" si="7"/>
        <v>Before</v>
      </c>
    </row>
    <row r="132" spans="1:20" ht="15">
      <c r="A132" s="15" t="s">
        <v>298</v>
      </c>
      <c r="B132" s="15" t="s">
        <v>31</v>
      </c>
      <c r="C132" s="16">
        <v>45586</v>
      </c>
      <c r="D132" s="15" t="s">
        <v>16</v>
      </c>
      <c r="E132" s="15" t="s">
        <v>17</v>
      </c>
      <c r="F132" s="15">
        <v>4840</v>
      </c>
      <c r="G132" s="15">
        <v>658</v>
      </c>
      <c r="H132" s="15">
        <v>211</v>
      </c>
      <c r="I132" s="15">
        <v>43560</v>
      </c>
      <c r="J132" s="15">
        <v>43225</v>
      </c>
      <c r="K132" s="15">
        <v>57</v>
      </c>
      <c r="L132" s="15" t="s">
        <v>583</v>
      </c>
      <c r="M132" s="15" t="s">
        <v>584</v>
      </c>
      <c r="N132" s="15" t="str">
        <f t="shared" si="6"/>
        <v>MyntraSale,MyntraFashion</v>
      </c>
      <c r="O132" s="15" t="s">
        <v>25</v>
      </c>
      <c r="P132" s="17">
        <f>(Post[[#This Row],[Likes]]+Post[[#This Row],[Shares]]+Post[[#This Row],[Comments]])/Post[[#This Row],[Impressions]]</f>
        <v>0.13106060606060607</v>
      </c>
      <c r="Q132" s="15">
        <f t="shared" si="8"/>
        <v>5709</v>
      </c>
      <c r="R132" s="16">
        <f>_xlfn.XLOOKUP($O132,'Campaign Data '!$A:$A,'Campaign Data '!$B:$B)</f>
        <v>45453</v>
      </c>
      <c r="S132" s="16">
        <f>_xlfn.XLOOKUP($O132,'Campaign Data '!$A:$A,'Campaign Data '!$C:$C)</f>
        <v>45478</v>
      </c>
      <c r="T132" s="15" t="str">
        <f t="shared" si="7"/>
        <v>Before</v>
      </c>
    </row>
    <row r="133" spans="1:20" ht="15">
      <c r="A133" s="15" t="s">
        <v>299</v>
      </c>
      <c r="B133" s="15" t="s">
        <v>31</v>
      </c>
      <c r="C133" s="16">
        <v>45720</v>
      </c>
      <c r="D133" s="15" t="s">
        <v>33</v>
      </c>
      <c r="E133" s="15" t="s">
        <v>34</v>
      </c>
      <c r="F133" s="15">
        <v>1947</v>
      </c>
      <c r="G133" s="15">
        <v>842</v>
      </c>
      <c r="H133" s="15">
        <v>101</v>
      </c>
      <c r="I133" s="15">
        <v>21417</v>
      </c>
      <c r="J133" s="15">
        <v>20967</v>
      </c>
      <c r="K133" s="15">
        <v>186</v>
      </c>
      <c r="L133" s="15" t="s">
        <v>584</v>
      </c>
      <c r="M133" s="15"/>
      <c r="N133" s="15" t="str">
        <f t="shared" si="6"/>
        <v>MyntraFashion</v>
      </c>
      <c r="O133" s="15" t="s">
        <v>25</v>
      </c>
      <c r="P133" s="17">
        <f>(Post[[#This Row],[Likes]]+Post[[#This Row],[Shares]]+Post[[#This Row],[Comments]])/Post[[#This Row],[Impressions]]</f>
        <v>0.13493953401503478</v>
      </c>
      <c r="Q133" s="15">
        <f t="shared" si="8"/>
        <v>2890</v>
      </c>
      <c r="R133" s="16">
        <f>_xlfn.XLOOKUP($O133,'Campaign Data '!$A:$A,'Campaign Data '!$B:$B)</f>
        <v>45453</v>
      </c>
      <c r="S133" s="16">
        <f>_xlfn.XLOOKUP($O133,'Campaign Data '!$A:$A,'Campaign Data '!$C:$C)</f>
        <v>45478</v>
      </c>
      <c r="T133" s="15" t="str">
        <f t="shared" si="7"/>
        <v>Before</v>
      </c>
    </row>
    <row r="134" spans="1:20" ht="15">
      <c r="A134" s="15" t="s">
        <v>300</v>
      </c>
      <c r="B134" s="15" t="s">
        <v>41</v>
      </c>
      <c r="C134" s="16">
        <v>45694</v>
      </c>
      <c r="D134" s="15" t="s">
        <v>50</v>
      </c>
      <c r="E134" s="15" t="s">
        <v>51</v>
      </c>
      <c r="F134" s="15">
        <v>2072</v>
      </c>
      <c r="G134" s="15">
        <v>532</v>
      </c>
      <c r="H134" s="15">
        <v>71</v>
      </c>
      <c r="I134" s="15">
        <v>37296</v>
      </c>
      <c r="J134" s="15">
        <v>36467</v>
      </c>
      <c r="K134" s="15">
        <v>25</v>
      </c>
      <c r="L134" s="15" t="s">
        <v>583</v>
      </c>
      <c r="M134" s="15"/>
      <c r="N134" s="15" t="str">
        <f t="shared" si="6"/>
        <v>MyntraSale</v>
      </c>
      <c r="O134" s="15" t="s">
        <v>39</v>
      </c>
      <c r="P134" s="17">
        <f>(Post[[#This Row],[Likes]]+Post[[#This Row],[Shares]]+Post[[#This Row],[Comments]])/Post[[#This Row],[Impressions]]</f>
        <v>7.172350922350923E-2</v>
      </c>
      <c r="Q134" s="15">
        <f t="shared" si="8"/>
        <v>2675</v>
      </c>
      <c r="R134" s="16">
        <f>_xlfn.XLOOKUP($O134,'Campaign Data '!$A:$A,'Campaign Data '!$B:$B)</f>
        <v>45570</v>
      </c>
      <c r="S134" s="16">
        <f>_xlfn.XLOOKUP($O134,'Campaign Data '!$A:$A,'Campaign Data '!$C:$C)</f>
        <v>45601</v>
      </c>
      <c r="T134" s="15" t="str">
        <f t="shared" si="7"/>
        <v>Before</v>
      </c>
    </row>
    <row r="135" spans="1:20" ht="15">
      <c r="A135" s="15" t="s">
        <v>302</v>
      </c>
      <c r="B135" s="15" t="s">
        <v>14</v>
      </c>
      <c r="C135" s="16">
        <v>45771</v>
      </c>
      <c r="D135" s="15" t="s">
        <v>16</v>
      </c>
      <c r="E135" s="15" t="s">
        <v>17</v>
      </c>
      <c r="F135" s="15">
        <v>3731</v>
      </c>
      <c r="G135" s="15">
        <v>115</v>
      </c>
      <c r="H135" s="15">
        <v>135</v>
      </c>
      <c r="I135" s="15">
        <v>55965</v>
      </c>
      <c r="J135" s="15">
        <v>55436</v>
      </c>
      <c r="K135" s="15">
        <v>103</v>
      </c>
      <c r="L135" s="15" t="s">
        <v>588</v>
      </c>
      <c r="M135" s="15"/>
      <c r="N135" s="15" t="str">
        <f t="shared" si="6"/>
        <v>FashionDeals</v>
      </c>
      <c r="O135" s="15" t="s">
        <v>56</v>
      </c>
      <c r="P135" s="17">
        <f>(Post[[#This Row],[Likes]]+Post[[#This Row],[Shares]]+Post[[#This Row],[Comments]])/Post[[#This Row],[Impressions]]</f>
        <v>7.1133744304476013E-2</v>
      </c>
      <c r="Q135" s="15">
        <f t="shared" si="8"/>
        <v>3981</v>
      </c>
      <c r="R135" s="16">
        <f>_xlfn.XLOOKUP($O135,'Campaign Data '!$A:$A,'Campaign Data '!$B:$B)</f>
        <v>45667</v>
      </c>
      <c r="S135" s="16">
        <f>_xlfn.XLOOKUP($O135,'Campaign Data '!$A:$A,'Campaign Data '!$C:$C)</f>
        <v>45698</v>
      </c>
      <c r="T135" s="15" t="str">
        <f t="shared" si="7"/>
        <v>Before</v>
      </c>
    </row>
    <row r="136" spans="1:20" ht="15">
      <c r="A136" s="15" t="s">
        <v>304</v>
      </c>
      <c r="B136" s="15" t="s">
        <v>41</v>
      </c>
      <c r="C136" s="16">
        <v>45624</v>
      </c>
      <c r="D136" s="15" t="s">
        <v>22</v>
      </c>
      <c r="E136" s="15" t="s">
        <v>23</v>
      </c>
      <c r="F136" s="15">
        <v>4213</v>
      </c>
      <c r="G136" s="15">
        <v>253</v>
      </c>
      <c r="H136" s="15">
        <v>434</v>
      </c>
      <c r="I136" s="15">
        <v>75834</v>
      </c>
      <c r="J136" s="15">
        <v>75437</v>
      </c>
      <c r="K136" s="15">
        <v>272</v>
      </c>
      <c r="L136" s="15" t="s">
        <v>586</v>
      </c>
      <c r="M136" s="15"/>
      <c r="N136" s="15" t="str">
        <f t="shared" si="6"/>
        <v>MyntraTrend</v>
      </c>
      <c r="O136" s="15" t="s">
        <v>39</v>
      </c>
      <c r="P136" s="17">
        <f>(Post[[#This Row],[Likes]]+Post[[#This Row],[Shares]]+Post[[#This Row],[Comments]])/Post[[#This Row],[Impressions]]</f>
        <v>6.461481657304112E-2</v>
      </c>
      <c r="Q136" s="15">
        <f t="shared" si="8"/>
        <v>4900</v>
      </c>
      <c r="R136" s="16">
        <f>_xlfn.XLOOKUP($O136,'Campaign Data '!$A:$A,'Campaign Data '!$B:$B)</f>
        <v>45570</v>
      </c>
      <c r="S136" s="16">
        <f>_xlfn.XLOOKUP($O136,'Campaign Data '!$A:$A,'Campaign Data '!$C:$C)</f>
        <v>45601</v>
      </c>
      <c r="T136" s="15" t="str">
        <f t="shared" si="7"/>
        <v>Before</v>
      </c>
    </row>
    <row r="137" spans="1:20" ht="15">
      <c r="A137" s="15" t="s">
        <v>306</v>
      </c>
      <c r="B137" s="15" t="s">
        <v>31</v>
      </c>
      <c r="C137" s="16">
        <v>45484</v>
      </c>
      <c r="D137" s="15" t="s">
        <v>22</v>
      </c>
      <c r="E137" s="15" t="s">
        <v>23</v>
      </c>
      <c r="F137" s="15">
        <v>3134</v>
      </c>
      <c r="G137" s="15">
        <v>888</v>
      </c>
      <c r="H137" s="15">
        <v>444</v>
      </c>
      <c r="I137" s="15">
        <v>21938</v>
      </c>
      <c r="J137" s="15">
        <v>21337</v>
      </c>
      <c r="K137" s="15">
        <v>130</v>
      </c>
      <c r="L137" s="15" t="s">
        <v>583</v>
      </c>
      <c r="M137" s="15" t="s">
        <v>584</v>
      </c>
      <c r="N137" s="15" t="str">
        <f t="shared" si="6"/>
        <v>MyntraSale,MyntraFashion</v>
      </c>
      <c r="O137" s="15" t="s">
        <v>56</v>
      </c>
      <c r="P137" s="17">
        <f>(Post[[#This Row],[Likes]]+Post[[#This Row],[Shares]]+Post[[#This Row],[Comments]])/Post[[#This Row],[Impressions]]</f>
        <v>0.20357370772176134</v>
      </c>
      <c r="Q137" s="15">
        <f t="shared" si="8"/>
        <v>4466</v>
      </c>
      <c r="R137" s="16">
        <f>_xlfn.XLOOKUP($O137,'Campaign Data '!$A:$A,'Campaign Data '!$B:$B)</f>
        <v>45667</v>
      </c>
      <c r="S137" s="16">
        <f>_xlfn.XLOOKUP($O137,'Campaign Data '!$A:$A,'Campaign Data '!$C:$C)</f>
        <v>45698</v>
      </c>
      <c r="T137" s="15" t="str">
        <f t="shared" si="7"/>
        <v>Before</v>
      </c>
    </row>
    <row r="138" spans="1:20" ht="15">
      <c r="A138" s="15" t="s">
        <v>308</v>
      </c>
      <c r="B138" s="15" t="s">
        <v>41</v>
      </c>
      <c r="C138" s="16">
        <v>45504</v>
      </c>
      <c r="D138" s="15" t="s">
        <v>70</v>
      </c>
      <c r="E138" s="15" t="s">
        <v>71</v>
      </c>
      <c r="F138" s="15">
        <v>3008</v>
      </c>
      <c r="G138" s="15">
        <v>94</v>
      </c>
      <c r="H138" s="15">
        <v>37</v>
      </c>
      <c r="I138" s="15">
        <v>15040</v>
      </c>
      <c r="J138" s="15">
        <v>14639</v>
      </c>
      <c r="K138" s="15">
        <v>277</v>
      </c>
      <c r="L138" s="15" t="s">
        <v>588</v>
      </c>
      <c r="M138" s="15"/>
      <c r="N138" s="15" t="str">
        <f t="shared" si="6"/>
        <v>FashionDeals</v>
      </c>
      <c r="O138" s="15" t="s">
        <v>19</v>
      </c>
      <c r="P138" s="17">
        <f>(Post[[#This Row],[Likes]]+Post[[#This Row],[Shares]]+Post[[#This Row],[Comments]])/Post[[#This Row],[Impressions]]</f>
        <v>0.20871010638297871</v>
      </c>
      <c r="Q138" s="15">
        <f t="shared" si="8"/>
        <v>3139</v>
      </c>
      <c r="R138" s="16">
        <f>_xlfn.XLOOKUP($O138,'Campaign Data '!$A:$A,'Campaign Data '!$B:$B)</f>
        <v>45505</v>
      </c>
      <c r="S138" s="16">
        <f>_xlfn.XLOOKUP($O138,'Campaign Data '!$A:$A,'Campaign Data '!$C:$C)</f>
        <v>45535</v>
      </c>
      <c r="T138" s="15" t="str">
        <f t="shared" si="7"/>
        <v>Before</v>
      </c>
    </row>
    <row r="139" spans="1:20" ht="15">
      <c r="A139" s="15" t="s">
        <v>309</v>
      </c>
      <c r="B139" s="15" t="s">
        <v>14</v>
      </c>
      <c r="C139" s="16">
        <v>45745</v>
      </c>
      <c r="D139" s="15" t="s">
        <v>50</v>
      </c>
      <c r="E139" s="15" t="s">
        <v>51</v>
      </c>
      <c r="F139" s="15">
        <v>305</v>
      </c>
      <c r="G139" s="15">
        <v>187</v>
      </c>
      <c r="H139" s="15">
        <v>243</v>
      </c>
      <c r="I139" s="15">
        <v>4575</v>
      </c>
      <c r="J139" s="15">
        <v>3704</v>
      </c>
      <c r="K139" s="15">
        <v>234</v>
      </c>
      <c r="L139" s="15" t="s">
        <v>584</v>
      </c>
      <c r="M139" s="15" t="s">
        <v>586</v>
      </c>
      <c r="N139" s="15" t="str">
        <f t="shared" si="6"/>
        <v>MyntraFashion,MyntraTrend</v>
      </c>
      <c r="O139" s="15" t="s">
        <v>56</v>
      </c>
      <c r="P139" s="17">
        <f>(Post[[#This Row],[Likes]]+Post[[#This Row],[Shares]]+Post[[#This Row],[Comments]])/Post[[#This Row],[Impressions]]</f>
        <v>0.16065573770491803</v>
      </c>
      <c r="Q139" s="15">
        <f t="shared" si="8"/>
        <v>735</v>
      </c>
      <c r="R139" s="16">
        <f>_xlfn.XLOOKUP($O139,'Campaign Data '!$A:$A,'Campaign Data '!$B:$B)</f>
        <v>45667</v>
      </c>
      <c r="S139" s="16">
        <f>_xlfn.XLOOKUP($O139,'Campaign Data '!$A:$A,'Campaign Data '!$C:$C)</f>
        <v>45698</v>
      </c>
      <c r="T139" s="15" t="str">
        <f t="shared" si="7"/>
        <v>Before</v>
      </c>
    </row>
    <row r="140" spans="1:20" ht="15">
      <c r="A140" s="15" t="s">
        <v>310</v>
      </c>
      <c r="B140" s="15" t="s">
        <v>27</v>
      </c>
      <c r="C140" s="16">
        <v>45594</v>
      </c>
      <c r="D140" s="15" t="s">
        <v>22</v>
      </c>
      <c r="E140" s="15" t="s">
        <v>23</v>
      </c>
      <c r="F140" s="15">
        <v>2746</v>
      </c>
      <c r="G140" s="15">
        <v>156</v>
      </c>
      <c r="H140" s="15">
        <v>203</v>
      </c>
      <c r="I140" s="15">
        <v>32952</v>
      </c>
      <c r="J140" s="15">
        <v>32147</v>
      </c>
      <c r="K140" s="15">
        <v>147</v>
      </c>
      <c r="L140" s="15" t="s">
        <v>584</v>
      </c>
      <c r="M140" s="15" t="s">
        <v>585</v>
      </c>
      <c r="N140" s="15" t="str">
        <f t="shared" si="6"/>
        <v>MyntraFashion,StyleWithMyntra</v>
      </c>
      <c r="O140" s="15" t="s">
        <v>25</v>
      </c>
      <c r="P140" s="17">
        <f>(Post[[#This Row],[Likes]]+Post[[#This Row],[Shares]]+Post[[#This Row],[Comments]])/Post[[#This Row],[Impressions]]</f>
        <v>9.422796795338674E-2</v>
      </c>
      <c r="Q140" s="15">
        <f t="shared" si="8"/>
        <v>3105</v>
      </c>
      <c r="R140" s="16">
        <f>_xlfn.XLOOKUP($O140,'Campaign Data '!$A:$A,'Campaign Data '!$B:$B)</f>
        <v>45453</v>
      </c>
      <c r="S140" s="16">
        <f>_xlfn.XLOOKUP($O140,'Campaign Data '!$A:$A,'Campaign Data '!$C:$C)</f>
        <v>45478</v>
      </c>
      <c r="T140" s="15" t="str">
        <f t="shared" si="7"/>
        <v>Before</v>
      </c>
    </row>
    <row r="141" spans="1:20" ht="15">
      <c r="A141" s="15" t="s">
        <v>312</v>
      </c>
      <c r="B141" s="15" t="s">
        <v>41</v>
      </c>
      <c r="C141" s="16">
        <v>45488</v>
      </c>
      <c r="D141" s="15" t="s">
        <v>50</v>
      </c>
      <c r="E141" s="15" t="s">
        <v>51</v>
      </c>
      <c r="F141" s="15">
        <v>2291</v>
      </c>
      <c r="G141" s="15">
        <v>78</v>
      </c>
      <c r="H141" s="15">
        <v>485</v>
      </c>
      <c r="I141" s="15">
        <v>18328</v>
      </c>
      <c r="J141" s="15">
        <v>18101</v>
      </c>
      <c r="K141" s="15">
        <v>10</v>
      </c>
      <c r="L141" s="15" t="s">
        <v>588</v>
      </c>
      <c r="M141" s="15"/>
      <c r="N141" s="15" t="str">
        <f t="shared" si="6"/>
        <v>FashionDeals</v>
      </c>
      <c r="O141" s="15" t="s">
        <v>19</v>
      </c>
      <c r="P141" s="17">
        <f>(Post[[#This Row],[Likes]]+Post[[#This Row],[Shares]]+Post[[#This Row],[Comments]])/Post[[#This Row],[Impressions]]</f>
        <v>0.15571802706241816</v>
      </c>
      <c r="Q141" s="15">
        <f t="shared" si="8"/>
        <v>2854</v>
      </c>
      <c r="R141" s="16">
        <f>_xlfn.XLOOKUP($O141,'Campaign Data '!$A:$A,'Campaign Data '!$B:$B)</f>
        <v>45505</v>
      </c>
      <c r="S141" s="16">
        <f>_xlfn.XLOOKUP($O141,'Campaign Data '!$A:$A,'Campaign Data '!$C:$C)</f>
        <v>45535</v>
      </c>
      <c r="T141" s="15" t="str">
        <f t="shared" si="7"/>
        <v>Before</v>
      </c>
    </row>
    <row r="142" spans="1:20" ht="15">
      <c r="A142" s="15" t="s">
        <v>314</v>
      </c>
      <c r="B142" s="15" t="s">
        <v>14</v>
      </c>
      <c r="C142" s="16">
        <v>45535</v>
      </c>
      <c r="D142" s="15" t="s">
        <v>50</v>
      </c>
      <c r="E142" s="15" t="s">
        <v>51</v>
      </c>
      <c r="F142" s="15">
        <v>3170</v>
      </c>
      <c r="G142" s="15">
        <v>857</v>
      </c>
      <c r="H142" s="15">
        <v>379</v>
      </c>
      <c r="I142" s="15">
        <v>19020</v>
      </c>
      <c r="J142" s="15">
        <v>18559</v>
      </c>
      <c r="K142" s="15">
        <v>240</v>
      </c>
      <c r="L142" s="15" t="s">
        <v>583</v>
      </c>
      <c r="M142" s="15"/>
      <c r="N142" s="15" t="str">
        <f t="shared" si="6"/>
        <v>MyntraSale</v>
      </c>
      <c r="O142" s="15" t="s">
        <v>39</v>
      </c>
      <c r="P142" s="17">
        <f>(Post[[#This Row],[Likes]]+Post[[#This Row],[Shares]]+Post[[#This Row],[Comments]])/Post[[#This Row],[Impressions]]</f>
        <v>0.2316508937960042</v>
      </c>
      <c r="Q142" s="15">
        <f t="shared" si="8"/>
        <v>4406</v>
      </c>
      <c r="R142" s="16">
        <f>_xlfn.XLOOKUP($O142,'Campaign Data '!$A:$A,'Campaign Data '!$B:$B)</f>
        <v>45570</v>
      </c>
      <c r="S142" s="16">
        <f>_xlfn.XLOOKUP($O142,'Campaign Data '!$A:$A,'Campaign Data '!$C:$C)</f>
        <v>45601</v>
      </c>
      <c r="T142" s="15" t="str">
        <f t="shared" si="7"/>
        <v>Before</v>
      </c>
    </row>
    <row r="143" spans="1:20" ht="15">
      <c r="A143" s="15" t="s">
        <v>316</v>
      </c>
      <c r="B143" s="15" t="s">
        <v>27</v>
      </c>
      <c r="C143" s="16">
        <v>45741</v>
      </c>
      <c r="D143" s="15" t="s">
        <v>33</v>
      </c>
      <c r="E143" s="15" t="s">
        <v>34</v>
      </c>
      <c r="F143" s="15">
        <v>2070</v>
      </c>
      <c r="G143" s="15">
        <v>275</v>
      </c>
      <c r="H143" s="15">
        <v>386</v>
      </c>
      <c r="I143" s="15">
        <v>39330</v>
      </c>
      <c r="J143" s="15">
        <v>38627</v>
      </c>
      <c r="K143" s="15">
        <v>114</v>
      </c>
      <c r="L143" s="15" t="s">
        <v>583</v>
      </c>
      <c r="M143" s="15"/>
      <c r="N143" s="15" t="str">
        <f t="shared" si="6"/>
        <v>MyntraSale</v>
      </c>
      <c r="O143" s="15" t="s">
        <v>56</v>
      </c>
      <c r="P143" s="17">
        <f>(Post[[#This Row],[Likes]]+Post[[#This Row],[Shares]]+Post[[#This Row],[Comments]])/Post[[#This Row],[Impressions]]</f>
        <v>6.9438087973557078E-2</v>
      </c>
      <c r="Q143" s="15">
        <f t="shared" si="8"/>
        <v>2731</v>
      </c>
      <c r="R143" s="16">
        <f>_xlfn.XLOOKUP($O143,'Campaign Data '!$A:$A,'Campaign Data '!$B:$B)</f>
        <v>45667</v>
      </c>
      <c r="S143" s="16">
        <f>_xlfn.XLOOKUP($O143,'Campaign Data '!$A:$A,'Campaign Data '!$C:$C)</f>
        <v>45698</v>
      </c>
      <c r="T143" s="15" t="str">
        <f t="shared" si="7"/>
        <v>Before</v>
      </c>
    </row>
    <row r="144" spans="1:20" ht="15">
      <c r="A144" s="15" t="s">
        <v>317</v>
      </c>
      <c r="B144" s="15" t="s">
        <v>27</v>
      </c>
      <c r="C144" s="16">
        <v>45567</v>
      </c>
      <c r="D144" s="15" t="s">
        <v>43</v>
      </c>
      <c r="E144" s="15" t="s">
        <v>44</v>
      </c>
      <c r="F144" s="15">
        <v>80</v>
      </c>
      <c r="G144" s="15">
        <v>362</v>
      </c>
      <c r="H144" s="15">
        <v>80</v>
      </c>
      <c r="I144" s="15">
        <v>1040</v>
      </c>
      <c r="J144" s="15">
        <v>349</v>
      </c>
      <c r="K144" s="15">
        <v>117</v>
      </c>
      <c r="L144" s="15" t="s">
        <v>584</v>
      </c>
      <c r="M144" s="15" t="s">
        <v>585</v>
      </c>
      <c r="N144" s="15" t="str">
        <f t="shared" si="6"/>
        <v>MyntraFashion,StyleWithMyntra</v>
      </c>
      <c r="O144" s="15" t="s">
        <v>25</v>
      </c>
      <c r="P144" s="17">
        <f>(Post[[#This Row],[Likes]]+Post[[#This Row],[Shares]]+Post[[#This Row],[Comments]])/Post[[#This Row],[Impressions]]</f>
        <v>0.50192307692307692</v>
      </c>
      <c r="Q144" s="15">
        <f t="shared" si="8"/>
        <v>522</v>
      </c>
      <c r="R144" s="16">
        <f>_xlfn.XLOOKUP($O144,'Campaign Data '!$A:$A,'Campaign Data '!$B:$B)</f>
        <v>45453</v>
      </c>
      <c r="S144" s="16">
        <f>_xlfn.XLOOKUP($O144,'Campaign Data '!$A:$A,'Campaign Data '!$C:$C)</f>
        <v>45478</v>
      </c>
      <c r="T144" s="15" t="str">
        <f t="shared" si="7"/>
        <v>Before</v>
      </c>
    </row>
    <row r="145" spans="1:20" ht="15">
      <c r="A145" s="15" t="s">
        <v>318</v>
      </c>
      <c r="B145" s="15" t="s">
        <v>27</v>
      </c>
      <c r="C145" s="16">
        <v>45593</v>
      </c>
      <c r="D145" s="15" t="s">
        <v>33</v>
      </c>
      <c r="E145" s="15" t="s">
        <v>34</v>
      </c>
      <c r="F145" s="15">
        <v>4929</v>
      </c>
      <c r="G145" s="15">
        <v>749</v>
      </c>
      <c r="H145" s="15">
        <v>452</v>
      </c>
      <c r="I145" s="15">
        <v>93651</v>
      </c>
      <c r="J145" s="15">
        <v>92810</v>
      </c>
      <c r="K145" s="15">
        <v>66</v>
      </c>
      <c r="L145" s="15" t="s">
        <v>586</v>
      </c>
      <c r="M145" s="15" t="s">
        <v>585</v>
      </c>
      <c r="N145" s="15" t="str">
        <f t="shared" si="6"/>
        <v>MyntraTrend,StyleWithMyntra</v>
      </c>
      <c r="O145" s="15" t="s">
        <v>19</v>
      </c>
      <c r="P145" s="17">
        <f>(Post[[#This Row],[Likes]]+Post[[#This Row],[Shares]]+Post[[#This Row],[Comments]])/Post[[#This Row],[Impressions]]</f>
        <v>6.5455787978772245E-2</v>
      </c>
      <c r="Q145" s="15">
        <f t="shared" si="8"/>
        <v>6130</v>
      </c>
      <c r="R145" s="16">
        <f>_xlfn.XLOOKUP($O145,'Campaign Data '!$A:$A,'Campaign Data '!$B:$B)</f>
        <v>45505</v>
      </c>
      <c r="S145" s="16">
        <f>_xlfn.XLOOKUP($O145,'Campaign Data '!$A:$A,'Campaign Data '!$C:$C)</f>
        <v>45535</v>
      </c>
      <c r="T145" s="15" t="str">
        <f t="shared" si="7"/>
        <v>Before</v>
      </c>
    </row>
    <row r="146" spans="1:20" ht="15">
      <c r="A146" s="15" t="s">
        <v>319</v>
      </c>
      <c r="B146" s="15" t="s">
        <v>31</v>
      </c>
      <c r="C146" s="16">
        <v>45516</v>
      </c>
      <c r="D146" s="15" t="s">
        <v>43</v>
      </c>
      <c r="E146" s="15" t="s">
        <v>44</v>
      </c>
      <c r="F146" s="15">
        <v>1878</v>
      </c>
      <c r="G146" s="15">
        <v>62</v>
      </c>
      <c r="H146" s="15">
        <v>179</v>
      </c>
      <c r="I146" s="15">
        <v>37560</v>
      </c>
      <c r="J146" s="15">
        <v>36874</v>
      </c>
      <c r="K146" s="15">
        <v>142</v>
      </c>
      <c r="L146" s="15" t="s">
        <v>588</v>
      </c>
      <c r="M146" s="15" t="s">
        <v>586</v>
      </c>
      <c r="N146" s="15" t="str">
        <f t="shared" si="6"/>
        <v>FashionDeals,MyntraTrend</v>
      </c>
      <c r="O146" s="15" t="s">
        <v>19</v>
      </c>
      <c r="P146" s="17">
        <f>(Post[[#This Row],[Likes]]+Post[[#This Row],[Shares]]+Post[[#This Row],[Comments]])/Post[[#This Row],[Impressions]]</f>
        <v>5.6416400425985093E-2</v>
      </c>
      <c r="Q146" s="15">
        <f t="shared" si="8"/>
        <v>2119</v>
      </c>
      <c r="R146" s="16">
        <f>_xlfn.XLOOKUP($O146,'Campaign Data '!$A:$A,'Campaign Data '!$B:$B)</f>
        <v>45505</v>
      </c>
      <c r="S146" s="16">
        <f>_xlfn.XLOOKUP($O146,'Campaign Data '!$A:$A,'Campaign Data '!$C:$C)</f>
        <v>45535</v>
      </c>
      <c r="T146" s="15" t="str">
        <f t="shared" si="7"/>
        <v>During</v>
      </c>
    </row>
    <row r="147" spans="1:20" ht="15">
      <c r="A147" s="15" t="s">
        <v>320</v>
      </c>
      <c r="B147" s="15" t="s">
        <v>27</v>
      </c>
      <c r="C147" s="16">
        <v>45448</v>
      </c>
      <c r="D147" s="15" t="s">
        <v>16</v>
      </c>
      <c r="E147" s="15" t="s">
        <v>17</v>
      </c>
      <c r="F147" s="15">
        <v>3065</v>
      </c>
      <c r="G147" s="15">
        <v>772</v>
      </c>
      <c r="H147" s="15">
        <v>142</v>
      </c>
      <c r="I147" s="15">
        <v>18390</v>
      </c>
      <c r="J147" s="15">
        <v>17875</v>
      </c>
      <c r="K147" s="15">
        <v>200</v>
      </c>
      <c r="L147" s="15" t="s">
        <v>585</v>
      </c>
      <c r="M147" s="15"/>
      <c r="N147" s="15" t="str">
        <f t="shared" si="6"/>
        <v>StyleWithMyntra</v>
      </c>
      <c r="O147" s="15" t="s">
        <v>19</v>
      </c>
      <c r="P147" s="17">
        <f>(Post[[#This Row],[Likes]]+Post[[#This Row],[Shares]]+Post[[#This Row],[Comments]])/Post[[#This Row],[Impressions]]</f>
        <v>0.21636759108210984</v>
      </c>
      <c r="Q147" s="15">
        <f t="shared" si="8"/>
        <v>3979</v>
      </c>
      <c r="R147" s="16">
        <f>_xlfn.XLOOKUP($O147,'Campaign Data '!$A:$A,'Campaign Data '!$B:$B)</f>
        <v>45505</v>
      </c>
      <c r="S147" s="16">
        <f>_xlfn.XLOOKUP($O147,'Campaign Data '!$A:$A,'Campaign Data '!$C:$C)</f>
        <v>45535</v>
      </c>
      <c r="T147" s="15" t="str">
        <f t="shared" si="7"/>
        <v>Before</v>
      </c>
    </row>
    <row r="148" spans="1:20" ht="15">
      <c r="A148" s="15" t="s">
        <v>322</v>
      </c>
      <c r="B148" s="15" t="s">
        <v>31</v>
      </c>
      <c r="C148" s="16">
        <v>45586</v>
      </c>
      <c r="D148" s="15" t="s">
        <v>16</v>
      </c>
      <c r="E148" s="15" t="s">
        <v>17</v>
      </c>
      <c r="F148" s="15">
        <v>3256</v>
      </c>
      <c r="G148" s="15">
        <v>459</v>
      </c>
      <c r="H148" s="15">
        <v>266</v>
      </c>
      <c r="I148" s="15">
        <v>26048</v>
      </c>
      <c r="J148" s="15">
        <v>25529</v>
      </c>
      <c r="K148" s="15">
        <v>143</v>
      </c>
      <c r="L148" s="15" t="s">
        <v>583</v>
      </c>
      <c r="M148" s="15" t="s">
        <v>585</v>
      </c>
      <c r="N148" s="15" t="str">
        <f t="shared" si="6"/>
        <v>MyntraSale,StyleWithMyntra</v>
      </c>
      <c r="O148" s="15" t="s">
        <v>39</v>
      </c>
      <c r="P148" s="17">
        <f>(Post[[#This Row],[Likes]]+Post[[#This Row],[Shares]]+Post[[#This Row],[Comments]])/Post[[#This Row],[Impressions]]</f>
        <v>0.15283323095823095</v>
      </c>
      <c r="Q148" s="15">
        <f t="shared" si="8"/>
        <v>3981</v>
      </c>
      <c r="R148" s="16">
        <f>_xlfn.XLOOKUP($O148,'Campaign Data '!$A:$A,'Campaign Data '!$B:$B)</f>
        <v>45570</v>
      </c>
      <c r="S148" s="16">
        <f>_xlfn.XLOOKUP($O148,'Campaign Data '!$A:$A,'Campaign Data '!$C:$C)</f>
        <v>45601</v>
      </c>
      <c r="T148" s="15" t="str">
        <f t="shared" si="7"/>
        <v>During</v>
      </c>
    </row>
    <row r="149" spans="1:20" ht="15">
      <c r="A149" s="15" t="s">
        <v>323</v>
      </c>
      <c r="B149" s="15" t="s">
        <v>31</v>
      </c>
      <c r="C149" s="16">
        <v>45762</v>
      </c>
      <c r="D149" s="15" t="s">
        <v>70</v>
      </c>
      <c r="E149" s="15" t="s">
        <v>71</v>
      </c>
      <c r="F149" s="15">
        <v>4133</v>
      </c>
      <c r="G149" s="15">
        <v>466</v>
      </c>
      <c r="H149" s="15">
        <v>327</v>
      </c>
      <c r="I149" s="15">
        <v>24798</v>
      </c>
      <c r="J149" s="15">
        <v>24620</v>
      </c>
      <c r="K149" s="15">
        <v>176</v>
      </c>
      <c r="L149" s="15" t="s">
        <v>585</v>
      </c>
      <c r="M149" s="15"/>
      <c r="N149" s="15" t="str">
        <f t="shared" si="6"/>
        <v>StyleWithMyntra</v>
      </c>
      <c r="O149" s="15" t="s">
        <v>25</v>
      </c>
      <c r="P149" s="17">
        <f>(Post[[#This Row],[Likes]]+Post[[#This Row],[Shares]]+Post[[#This Row],[Comments]])/Post[[#This Row],[Impressions]]</f>
        <v>0.19864505202032423</v>
      </c>
      <c r="Q149" s="15">
        <f t="shared" si="8"/>
        <v>4926</v>
      </c>
      <c r="R149" s="16">
        <f>_xlfn.XLOOKUP($O149,'Campaign Data '!$A:$A,'Campaign Data '!$B:$B)</f>
        <v>45453</v>
      </c>
      <c r="S149" s="16">
        <f>_xlfn.XLOOKUP($O149,'Campaign Data '!$A:$A,'Campaign Data '!$C:$C)</f>
        <v>45478</v>
      </c>
      <c r="T149" s="15" t="str">
        <f t="shared" si="7"/>
        <v>Before</v>
      </c>
    </row>
    <row r="150" spans="1:20" ht="15">
      <c r="A150" s="15" t="s">
        <v>324</v>
      </c>
      <c r="B150" s="15" t="s">
        <v>14</v>
      </c>
      <c r="C150" s="16">
        <v>45459</v>
      </c>
      <c r="D150" s="15" t="s">
        <v>70</v>
      </c>
      <c r="E150" s="15" t="s">
        <v>71</v>
      </c>
      <c r="F150" s="15">
        <v>1702</v>
      </c>
      <c r="G150" s="15">
        <v>750</v>
      </c>
      <c r="H150" s="15">
        <v>179</v>
      </c>
      <c r="I150" s="15">
        <v>34040</v>
      </c>
      <c r="J150" s="15">
        <v>33174</v>
      </c>
      <c r="K150" s="15">
        <v>76</v>
      </c>
      <c r="L150" s="15" t="s">
        <v>586</v>
      </c>
      <c r="M150" s="15"/>
      <c r="N150" s="15" t="str">
        <f t="shared" si="6"/>
        <v>MyntraTrend</v>
      </c>
      <c r="O150" s="15" t="s">
        <v>39</v>
      </c>
      <c r="P150" s="17">
        <f>(Post[[#This Row],[Likes]]+Post[[#This Row],[Shares]]+Post[[#This Row],[Comments]])/Post[[#This Row],[Impressions]]</f>
        <v>7.7291421856639245E-2</v>
      </c>
      <c r="Q150" s="15">
        <f t="shared" si="8"/>
        <v>2631</v>
      </c>
      <c r="R150" s="16">
        <f>_xlfn.XLOOKUP($O150,'Campaign Data '!$A:$A,'Campaign Data '!$B:$B)</f>
        <v>45570</v>
      </c>
      <c r="S150" s="16">
        <f>_xlfn.XLOOKUP($O150,'Campaign Data '!$A:$A,'Campaign Data '!$C:$C)</f>
        <v>45601</v>
      </c>
      <c r="T150" s="15" t="str">
        <f t="shared" si="7"/>
        <v>Before</v>
      </c>
    </row>
    <row r="151" spans="1:20" ht="15">
      <c r="A151" s="15" t="s">
        <v>326</v>
      </c>
      <c r="B151" s="15" t="s">
        <v>27</v>
      </c>
      <c r="C151" s="16">
        <v>45526</v>
      </c>
      <c r="D151" s="15" t="s">
        <v>43</v>
      </c>
      <c r="E151" s="15" t="s">
        <v>44</v>
      </c>
      <c r="F151" s="15">
        <v>4295</v>
      </c>
      <c r="G151" s="15">
        <v>853</v>
      </c>
      <c r="H151" s="15">
        <v>325</v>
      </c>
      <c r="I151" s="15">
        <v>85900</v>
      </c>
      <c r="J151" s="15">
        <v>85788</v>
      </c>
      <c r="K151" s="15">
        <v>290</v>
      </c>
      <c r="L151" s="15" t="s">
        <v>586</v>
      </c>
      <c r="M151" s="15" t="s">
        <v>583</v>
      </c>
      <c r="N151" s="15" t="str">
        <f t="shared" si="6"/>
        <v>MyntraTrend,MyntraSale</v>
      </c>
      <c r="O151" s="15" t="s">
        <v>25</v>
      </c>
      <c r="P151" s="17">
        <f>(Post[[#This Row],[Likes]]+Post[[#This Row],[Shares]]+Post[[#This Row],[Comments]])/Post[[#This Row],[Impressions]]</f>
        <v>6.3713620488940623E-2</v>
      </c>
      <c r="Q151" s="15">
        <f t="shared" si="8"/>
        <v>5473</v>
      </c>
      <c r="R151" s="16">
        <f>_xlfn.XLOOKUP($O151,'Campaign Data '!$A:$A,'Campaign Data '!$B:$B)</f>
        <v>45453</v>
      </c>
      <c r="S151" s="16">
        <f>_xlfn.XLOOKUP($O151,'Campaign Data '!$A:$A,'Campaign Data '!$C:$C)</f>
        <v>45478</v>
      </c>
      <c r="T151" s="15" t="str">
        <f t="shared" si="7"/>
        <v>Before</v>
      </c>
    </row>
    <row r="152" spans="1:20" ht="15">
      <c r="A152" s="15" t="s">
        <v>328</v>
      </c>
      <c r="B152" s="15" t="s">
        <v>31</v>
      </c>
      <c r="C152" s="16">
        <v>45499</v>
      </c>
      <c r="D152" s="15" t="s">
        <v>50</v>
      </c>
      <c r="E152" s="15" t="s">
        <v>51</v>
      </c>
      <c r="F152" s="15">
        <v>3559</v>
      </c>
      <c r="G152" s="15">
        <v>59</v>
      </c>
      <c r="H152" s="15">
        <v>289</v>
      </c>
      <c r="I152" s="15">
        <v>35590</v>
      </c>
      <c r="J152" s="15">
        <v>35105</v>
      </c>
      <c r="K152" s="15">
        <v>122</v>
      </c>
      <c r="L152" s="15" t="s">
        <v>586</v>
      </c>
      <c r="M152" s="15" t="s">
        <v>585</v>
      </c>
      <c r="N152" s="15" t="str">
        <f t="shared" si="6"/>
        <v>MyntraTrend,StyleWithMyntra</v>
      </c>
      <c r="O152" s="15" t="s">
        <v>39</v>
      </c>
      <c r="P152" s="17">
        <f>(Post[[#This Row],[Likes]]+Post[[#This Row],[Shares]]+Post[[#This Row],[Comments]])/Post[[#This Row],[Impressions]]</f>
        <v>0.10977802753582468</v>
      </c>
      <c r="Q152" s="15">
        <f t="shared" si="8"/>
        <v>3907</v>
      </c>
      <c r="R152" s="16">
        <f>_xlfn.XLOOKUP($O152,'Campaign Data '!$A:$A,'Campaign Data '!$B:$B)</f>
        <v>45570</v>
      </c>
      <c r="S152" s="16">
        <f>_xlfn.XLOOKUP($O152,'Campaign Data '!$A:$A,'Campaign Data '!$C:$C)</f>
        <v>45601</v>
      </c>
      <c r="T152" s="15" t="str">
        <f t="shared" si="7"/>
        <v>Before</v>
      </c>
    </row>
    <row r="153" spans="1:20" ht="15">
      <c r="A153" s="15" t="s">
        <v>329</v>
      </c>
      <c r="B153" s="15" t="s">
        <v>41</v>
      </c>
      <c r="C153" s="16">
        <v>45769</v>
      </c>
      <c r="D153" s="15" t="s">
        <v>50</v>
      </c>
      <c r="E153" s="15" t="s">
        <v>51</v>
      </c>
      <c r="F153" s="15">
        <v>4804</v>
      </c>
      <c r="G153" s="15">
        <v>550</v>
      </c>
      <c r="H153" s="15">
        <v>270</v>
      </c>
      <c r="I153" s="15">
        <v>28824</v>
      </c>
      <c r="J153" s="15">
        <v>28370</v>
      </c>
      <c r="K153" s="15">
        <v>47</v>
      </c>
      <c r="L153" s="15" t="s">
        <v>583</v>
      </c>
      <c r="M153" s="15" t="s">
        <v>585</v>
      </c>
      <c r="N153" s="15" t="str">
        <f t="shared" si="6"/>
        <v>MyntraSale,StyleWithMyntra</v>
      </c>
      <c r="O153" s="15" t="s">
        <v>56</v>
      </c>
      <c r="P153" s="17">
        <f>(Post[[#This Row],[Likes]]+Post[[#This Row],[Shares]]+Post[[#This Row],[Comments]])/Post[[#This Row],[Impressions]]</f>
        <v>0.19511518179295032</v>
      </c>
      <c r="Q153" s="15">
        <f t="shared" si="8"/>
        <v>5624</v>
      </c>
      <c r="R153" s="16">
        <f>_xlfn.XLOOKUP($O153,'Campaign Data '!$A:$A,'Campaign Data '!$B:$B)</f>
        <v>45667</v>
      </c>
      <c r="S153" s="16">
        <f>_xlfn.XLOOKUP($O153,'Campaign Data '!$A:$A,'Campaign Data '!$C:$C)</f>
        <v>45698</v>
      </c>
      <c r="T153" s="15" t="str">
        <f t="shared" si="7"/>
        <v>Before</v>
      </c>
    </row>
    <row r="154" spans="1:20" ht="15">
      <c r="A154" s="15" t="s">
        <v>331</v>
      </c>
      <c r="B154" s="15" t="s">
        <v>14</v>
      </c>
      <c r="C154" s="16">
        <v>45658</v>
      </c>
      <c r="D154" s="15" t="s">
        <v>70</v>
      </c>
      <c r="E154" s="15" t="s">
        <v>71</v>
      </c>
      <c r="F154" s="15">
        <v>754</v>
      </c>
      <c r="G154" s="15">
        <v>197</v>
      </c>
      <c r="H154" s="15">
        <v>257</v>
      </c>
      <c r="I154" s="15">
        <v>6786</v>
      </c>
      <c r="J154" s="15">
        <v>6221</v>
      </c>
      <c r="K154" s="15">
        <v>212</v>
      </c>
      <c r="L154" s="15" t="s">
        <v>588</v>
      </c>
      <c r="M154" s="15" t="s">
        <v>586</v>
      </c>
      <c r="N154" s="15" t="str">
        <f t="shared" si="6"/>
        <v>FashionDeals,MyntraTrend</v>
      </c>
      <c r="O154" s="15" t="s">
        <v>39</v>
      </c>
      <c r="P154" s="17">
        <f>(Post[[#This Row],[Likes]]+Post[[#This Row],[Shares]]+Post[[#This Row],[Comments]])/Post[[#This Row],[Impressions]]</f>
        <v>0.17801355732390214</v>
      </c>
      <c r="Q154" s="15">
        <f t="shared" si="8"/>
        <v>1208</v>
      </c>
      <c r="R154" s="16">
        <f>_xlfn.XLOOKUP($O154,'Campaign Data '!$A:$A,'Campaign Data '!$B:$B)</f>
        <v>45570</v>
      </c>
      <c r="S154" s="16">
        <f>_xlfn.XLOOKUP($O154,'Campaign Data '!$A:$A,'Campaign Data '!$C:$C)</f>
        <v>45601</v>
      </c>
      <c r="T154" s="15" t="str">
        <f t="shared" si="7"/>
        <v>Before</v>
      </c>
    </row>
    <row r="155" spans="1:20" ht="15">
      <c r="A155" s="15" t="s">
        <v>333</v>
      </c>
      <c r="B155" s="15" t="s">
        <v>31</v>
      </c>
      <c r="C155" s="16">
        <v>45574</v>
      </c>
      <c r="D155" s="15" t="s">
        <v>43</v>
      </c>
      <c r="E155" s="15" t="s">
        <v>44</v>
      </c>
      <c r="F155" s="15">
        <v>985</v>
      </c>
      <c r="G155" s="15">
        <v>932</v>
      </c>
      <c r="H155" s="15">
        <v>287</v>
      </c>
      <c r="I155" s="15">
        <v>6895</v>
      </c>
      <c r="J155" s="15">
        <v>6757</v>
      </c>
      <c r="K155" s="15">
        <v>64</v>
      </c>
      <c r="L155" s="15" t="s">
        <v>583</v>
      </c>
      <c r="M155" s="15" t="s">
        <v>584</v>
      </c>
      <c r="N155" s="15" t="str">
        <f t="shared" si="6"/>
        <v>MyntraSale,MyntraFashion</v>
      </c>
      <c r="O155" s="15" t="s">
        <v>25</v>
      </c>
      <c r="P155" s="17">
        <f>(Post[[#This Row],[Likes]]+Post[[#This Row],[Shares]]+Post[[#This Row],[Comments]])/Post[[#This Row],[Impressions]]</f>
        <v>0.31965192168237855</v>
      </c>
      <c r="Q155" s="15">
        <f t="shared" si="8"/>
        <v>2204</v>
      </c>
      <c r="R155" s="16">
        <f>_xlfn.XLOOKUP($O155,'Campaign Data '!$A:$A,'Campaign Data '!$B:$B)</f>
        <v>45453</v>
      </c>
      <c r="S155" s="16">
        <f>_xlfn.XLOOKUP($O155,'Campaign Data '!$A:$A,'Campaign Data '!$C:$C)</f>
        <v>45478</v>
      </c>
      <c r="T155" s="15" t="str">
        <f t="shared" si="7"/>
        <v>Before</v>
      </c>
    </row>
    <row r="156" spans="1:20" ht="15">
      <c r="A156" s="15" t="s">
        <v>334</v>
      </c>
      <c r="B156" s="15" t="s">
        <v>27</v>
      </c>
      <c r="C156" s="16">
        <v>45647</v>
      </c>
      <c r="D156" s="15" t="s">
        <v>50</v>
      </c>
      <c r="E156" s="15" t="s">
        <v>51</v>
      </c>
      <c r="F156" s="15">
        <v>2283</v>
      </c>
      <c r="G156" s="15">
        <v>210</v>
      </c>
      <c r="H156" s="15">
        <v>130</v>
      </c>
      <c r="I156" s="15">
        <v>22830</v>
      </c>
      <c r="J156" s="15">
        <v>22617</v>
      </c>
      <c r="K156" s="15">
        <v>143</v>
      </c>
      <c r="L156" s="15" t="s">
        <v>584</v>
      </c>
      <c r="M156" s="15" t="s">
        <v>585</v>
      </c>
      <c r="N156" s="15" t="str">
        <f t="shared" si="6"/>
        <v>MyntraFashion,StyleWithMyntra</v>
      </c>
      <c r="O156" s="15" t="s">
        <v>39</v>
      </c>
      <c r="P156" s="17">
        <f>(Post[[#This Row],[Likes]]+Post[[#This Row],[Shares]]+Post[[#This Row],[Comments]])/Post[[#This Row],[Impressions]]</f>
        <v>0.11489268506351293</v>
      </c>
      <c r="Q156" s="15">
        <f t="shared" si="8"/>
        <v>2623</v>
      </c>
      <c r="R156" s="16">
        <f>_xlfn.XLOOKUP($O156,'Campaign Data '!$A:$A,'Campaign Data '!$B:$B)</f>
        <v>45570</v>
      </c>
      <c r="S156" s="16">
        <f>_xlfn.XLOOKUP($O156,'Campaign Data '!$A:$A,'Campaign Data '!$C:$C)</f>
        <v>45601</v>
      </c>
      <c r="T156" s="15" t="str">
        <f t="shared" si="7"/>
        <v>Before</v>
      </c>
    </row>
    <row r="157" spans="1:20" ht="15">
      <c r="A157" s="15" t="s">
        <v>336</v>
      </c>
      <c r="B157" s="15" t="s">
        <v>41</v>
      </c>
      <c r="C157" s="16">
        <v>45587</v>
      </c>
      <c r="D157" s="15" t="s">
        <v>43</v>
      </c>
      <c r="E157" s="15" t="s">
        <v>44</v>
      </c>
      <c r="F157" s="15">
        <v>3352</v>
      </c>
      <c r="G157" s="15">
        <v>941</v>
      </c>
      <c r="H157" s="15">
        <v>482</v>
      </c>
      <c r="I157" s="15">
        <v>43576</v>
      </c>
      <c r="J157" s="15">
        <v>43338</v>
      </c>
      <c r="K157" s="15">
        <v>240</v>
      </c>
      <c r="L157" s="15" t="s">
        <v>586</v>
      </c>
      <c r="M157" s="15"/>
      <c r="N157" s="15" t="str">
        <f t="shared" si="6"/>
        <v>MyntraTrend</v>
      </c>
      <c r="O157" s="15" t="s">
        <v>39</v>
      </c>
      <c r="P157" s="17">
        <f>(Post[[#This Row],[Likes]]+Post[[#This Row],[Shares]]+Post[[#This Row],[Comments]])/Post[[#This Row],[Impressions]]</f>
        <v>0.1095786671562328</v>
      </c>
      <c r="Q157" s="15">
        <f t="shared" si="8"/>
        <v>4775</v>
      </c>
      <c r="R157" s="16">
        <f>_xlfn.XLOOKUP($O157,'Campaign Data '!$A:$A,'Campaign Data '!$B:$B)</f>
        <v>45570</v>
      </c>
      <c r="S157" s="16">
        <f>_xlfn.XLOOKUP($O157,'Campaign Data '!$A:$A,'Campaign Data '!$C:$C)</f>
        <v>45601</v>
      </c>
      <c r="T157" s="15" t="str">
        <f t="shared" si="7"/>
        <v>During</v>
      </c>
    </row>
    <row r="158" spans="1:20" ht="15">
      <c r="A158" s="15" t="s">
        <v>338</v>
      </c>
      <c r="B158" s="15" t="s">
        <v>27</v>
      </c>
      <c r="C158" s="16">
        <v>45496</v>
      </c>
      <c r="D158" s="15" t="s">
        <v>33</v>
      </c>
      <c r="E158" s="15" t="s">
        <v>34</v>
      </c>
      <c r="F158" s="15">
        <v>4775</v>
      </c>
      <c r="G158" s="15">
        <v>173</v>
      </c>
      <c r="H158" s="15">
        <v>206</v>
      </c>
      <c r="I158" s="15">
        <v>47750</v>
      </c>
      <c r="J158" s="15">
        <v>47544</v>
      </c>
      <c r="K158" s="15">
        <v>187</v>
      </c>
      <c r="L158" s="15" t="s">
        <v>585</v>
      </c>
      <c r="M158" s="15" t="s">
        <v>586</v>
      </c>
      <c r="N158" s="15" t="str">
        <f t="shared" si="6"/>
        <v>StyleWithMyntra,MyntraTrend</v>
      </c>
      <c r="O158" s="15" t="s">
        <v>56</v>
      </c>
      <c r="P158" s="17">
        <f>(Post[[#This Row],[Likes]]+Post[[#This Row],[Shares]]+Post[[#This Row],[Comments]])/Post[[#This Row],[Impressions]]</f>
        <v>0.10793717277486911</v>
      </c>
      <c r="Q158" s="15">
        <f t="shared" si="8"/>
        <v>5154</v>
      </c>
      <c r="R158" s="16">
        <f>_xlfn.XLOOKUP($O158,'Campaign Data '!$A:$A,'Campaign Data '!$B:$B)</f>
        <v>45667</v>
      </c>
      <c r="S158" s="16">
        <f>_xlfn.XLOOKUP($O158,'Campaign Data '!$A:$A,'Campaign Data '!$C:$C)</f>
        <v>45698</v>
      </c>
      <c r="T158" s="15" t="str">
        <f t="shared" si="7"/>
        <v>Before</v>
      </c>
    </row>
    <row r="159" spans="1:20" ht="15">
      <c r="A159" s="15" t="s">
        <v>340</v>
      </c>
      <c r="B159" s="15" t="s">
        <v>31</v>
      </c>
      <c r="C159" s="16">
        <v>45515</v>
      </c>
      <c r="D159" s="15" t="s">
        <v>33</v>
      </c>
      <c r="E159" s="15" t="s">
        <v>34</v>
      </c>
      <c r="F159" s="15">
        <v>1762</v>
      </c>
      <c r="G159" s="15">
        <v>405</v>
      </c>
      <c r="H159" s="15">
        <v>423</v>
      </c>
      <c r="I159" s="15">
        <v>22906</v>
      </c>
      <c r="J159" s="15">
        <v>21925</v>
      </c>
      <c r="K159" s="15">
        <v>25</v>
      </c>
      <c r="L159" s="15" t="s">
        <v>588</v>
      </c>
      <c r="M159" s="15"/>
      <c r="N159" s="15" t="str">
        <f t="shared" si="6"/>
        <v>FashionDeals</v>
      </c>
      <c r="O159" s="15" t="s">
        <v>25</v>
      </c>
      <c r="P159" s="17">
        <f>(Post[[#This Row],[Likes]]+Post[[#This Row],[Shares]]+Post[[#This Row],[Comments]])/Post[[#This Row],[Impressions]]</f>
        <v>0.11307081114118571</v>
      </c>
      <c r="Q159" s="15">
        <f t="shared" si="8"/>
        <v>2590</v>
      </c>
      <c r="R159" s="16">
        <f>_xlfn.XLOOKUP($O159,'Campaign Data '!$A:$A,'Campaign Data '!$B:$B)</f>
        <v>45453</v>
      </c>
      <c r="S159" s="16">
        <f>_xlfn.XLOOKUP($O159,'Campaign Data '!$A:$A,'Campaign Data '!$C:$C)</f>
        <v>45478</v>
      </c>
      <c r="T159" s="15" t="str">
        <f t="shared" si="7"/>
        <v>Before</v>
      </c>
    </row>
    <row r="160" spans="1:20" ht="15">
      <c r="A160" s="15" t="s">
        <v>342</v>
      </c>
      <c r="B160" s="15" t="s">
        <v>41</v>
      </c>
      <c r="C160" s="16">
        <v>45621</v>
      </c>
      <c r="D160" s="15" t="s">
        <v>33</v>
      </c>
      <c r="E160" s="15" t="s">
        <v>34</v>
      </c>
      <c r="F160" s="15">
        <v>2120</v>
      </c>
      <c r="G160" s="15">
        <v>158</v>
      </c>
      <c r="H160" s="15">
        <v>488</v>
      </c>
      <c r="I160" s="15">
        <v>12720</v>
      </c>
      <c r="J160" s="15">
        <v>12085</v>
      </c>
      <c r="K160" s="15">
        <v>17</v>
      </c>
      <c r="L160" s="15" t="s">
        <v>585</v>
      </c>
      <c r="M160" s="15" t="s">
        <v>586</v>
      </c>
      <c r="N160" s="15" t="str">
        <f t="shared" si="6"/>
        <v>StyleWithMyntra,MyntraTrend</v>
      </c>
      <c r="O160" s="15" t="s">
        <v>25</v>
      </c>
      <c r="P160" s="17">
        <f>(Post[[#This Row],[Likes]]+Post[[#This Row],[Shares]]+Post[[#This Row],[Comments]])/Post[[#This Row],[Impressions]]</f>
        <v>0.21745283018867925</v>
      </c>
      <c r="Q160" s="15">
        <f t="shared" si="8"/>
        <v>2766</v>
      </c>
      <c r="R160" s="16">
        <f>_xlfn.XLOOKUP($O160,'Campaign Data '!$A:$A,'Campaign Data '!$B:$B)</f>
        <v>45453</v>
      </c>
      <c r="S160" s="16">
        <f>_xlfn.XLOOKUP($O160,'Campaign Data '!$A:$A,'Campaign Data '!$C:$C)</f>
        <v>45478</v>
      </c>
      <c r="T160" s="15" t="str">
        <f t="shared" si="7"/>
        <v>Before</v>
      </c>
    </row>
    <row r="161" spans="1:20" ht="15">
      <c r="A161" s="15" t="s">
        <v>343</v>
      </c>
      <c r="B161" s="15" t="s">
        <v>14</v>
      </c>
      <c r="C161" s="16">
        <v>45528</v>
      </c>
      <c r="D161" s="15" t="s">
        <v>70</v>
      </c>
      <c r="E161" s="15" t="s">
        <v>71</v>
      </c>
      <c r="F161" s="15">
        <v>1082</v>
      </c>
      <c r="G161" s="15">
        <v>209</v>
      </c>
      <c r="H161" s="15">
        <v>484</v>
      </c>
      <c r="I161" s="15">
        <v>19476</v>
      </c>
      <c r="J161" s="15">
        <v>18654</v>
      </c>
      <c r="K161" s="15">
        <v>20</v>
      </c>
      <c r="L161" s="15" t="s">
        <v>585</v>
      </c>
      <c r="M161" s="15"/>
      <c r="N161" s="15" t="str">
        <f t="shared" si="6"/>
        <v>StyleWithMyntra</v>
      </c>
      <c r="O161" s="15" t="s">
        <v>56</v>
      </c>
      <c r="P161" s="17">
        <f>(Post[[#This Row],[Likes]]+Post[[#This Row],[Shares]]+Post[[#This Row],[Comments]])/Post[[#This Row],[Impressions]]</f>
        <v>9.1137810638734856E-2</v>
      </c>
      <c r="Q161" s="15">
        <f t="shared" si="8"/>
        <v>1775</v>
      </c>
      <c r="R161" s="16">
        <f>_xlfn.XLOOKUP($O161,'Campaign Data '!$A:$A,'Campaign Data '!$B:$B)</f>
        <v>45667</v>
      </c>
      <c r="S161" s="16">
        <f>_xlfn.XLOOKUP($O161,'Campaign Data '!$A:$A,'Campaign Data '!$C:$C)</f>
        <v>45698</v>
      </c>
      <c r="T161" s="15" t="str">
        <f t="shared" si="7"/>
        <v>Before</v>
      </c>
    </row>
    <row r="162" spans="1:20" ht="15">
      <c r="A162" s="15" t="s">
        <v>345</v>
      </c>
      <c r="B162" s="15" t="s">
        <v>14</v>
      </c>
      <c r="C162" s="16">
        <v>45707</v>
      </c>
      <c r="D162" s="15" t="s">
        <v>22</v>
      </c>
      <c r="E162" s="15" t="s">
        <v>23</v>
      </c>
      <c r="F162" s="15">
        <v>4671</v>
      </c>
      <c r="G162" s="15">
        <v>876</v>
      </c>
      <c r="H162" s="15">
        <v>366</v>
      </c>
      <c r="I162" s="15">
        <v>51381</v>
      </c>
      <c r="J162" s="15">
        <v>50565</v>
      </c>
      <c r="K162" s="15">
        <v>245</v>
      </c>
      <c r="L162" s="15" t="s">
        <v>583</v>
      </c>
      <c r="M162" s="15"/>
      <c r="N162" s="15" t="str">
        <f t="shared" si="6"/>
        <v>MyntraSale</v>
      </c>
      <c r="O162" s="15" t="s">
        <v>25</v>
      </c>
      <c r="P162" s="17">
        <f>(Post[[#This Row],[Likes]]+Post[[#This Row],[Shares]]+Post[[#This Row],[Comments]])/Post[[#This Row],[Impressions]]</f>
        <v>0.11508145034156594</v>
      </c>
      <c r="Q162" s="15">
        <f t="shared" si="8"/>
        <v>5913</v>
      </c>
      <c r="R162" s="16">
        <f>_xlfn.XLOOKUP($O162,'Campaign Data '!$A:$A,'Campaign Data '!$B:$B)</f>
        <v>45453</v>
      </c>
      <c r="S162" s="16">
        <f>_xlfn.XLOOKUP($O162,'Campaign Data '!$A:$A,'Campaign Data '!$C:$C)</f>
        <v>45478</v>
      </c>
      <c r="T162" s="15" t="str">
        <f t="shared" si="7"/>
        <v>Before</v>
      </c>
    </row>
    <row r="163" spans="1:20" ht="15">
      <c r="A163" s="15" t="s">
        <v>347</v>
      </c>
      <c r="B163" s="15" t="s">
        <v>41</v>
      </c>
      <c r="C163" s="16">
        <v>45748</v>
      </c>
      <c r="D163" s="15" t="s">
        <v>33</v>
      </c>
      <c r="E163" s="15" t="s">
        <v>34</v>
      </c>
      <c r="F163" s="15">
        <v>3430</v>
      </c>
      <c r="G163" s="15">
        <v>566</v>
      </c>
      <c r="H163" s="15">
        <v>164</v>
      </c>
      <c r="I163" s="15">
        <v>48020</v>
      </c>
      <c r="J163" s="15">
        <v>47305</v>
      </c>
      <c r="K163" s="15">
        <v>120</v>
      </c>
      <c r="L163" s="15" t="s">
        <v>586</v>
      </c>
      <c r="M163" s="15"/>
      <c r="N163" s="15" t="str">
        <f t="shared" si="6"/>
        <v>MyntraTrend</v>
      </c>
      <c r="O163" s="15" t="s">
        <v>25</v>
      </c>
      <c r="P163" s="17">
        <f>(Post[[#This Row],[Likes]]+Post[[#This Row],[Shares]]+Post[[#This Row],[Comments]])/Post[[#This Row],[Impressions]]</f>
        <v>8.6630570595585168E-2</v>
      </c>
      <c r="Q163" s="15">
        <f t="shared" si="8"/>
        <v>4160</v>
      </c>
      <c r="R163" s="16">
        <f>_xlfn.XLOOKUP($O163,'Campaign Data '!$A:$A,'Campaign Data '!$B:$B)</f>
        <v>45453</v>
      </c>
      <c r="S163" s="16">
        <f>_xlfn.XLOOKUP($O163,'Campaign Data '!$A:$A,'Campaign Data '!$C:$C)</f>
        <v>45478</v>
      </c>
      <c r="T163" s="15" t="str">
        <f t="shared" si="7"/>
        <v>Before</v>
      </c>
    </row>
    <row r="164" spans="1:20" ht="15">
      <c r="A164" s="15" t="s">
        <v>349</v>
      </c>
      <c r="B164" s="15" t="s">
        <v>31</v>
      </c>
      <c r="C164" s="16">
        <v>45755</v>
      </c>
      <c r="D164" s="15" t="s">
        <v>50</v>
      </c>
      <c r="E164" s="15" t="s">
        <v>51</v>
      </c>
      <c r="F164" s="15">
        <v>4501</v>
      </c>
      <c r="G164" s="15">
        <v>375</v>
      </c>
      <c r="H164" s="15">
        <v>323</v>
      </c>
      <c r="I164" s="15">
        <v>22505</v>
      </c>
      <c r="J164" s="15">
        <v>21836</v>
      </c>
      <c r="K164" s="15">
        <v>132</v>
      </c>
      <c r="L164" s="15" t="s">
        <v>584</v>
      </c>
      <c r="M164" s="15"/>
      <c r="N164" s="15" t="str">
        <f t="shared" si="6"/>
        <v>MyntraFashion</v>
      </c>
      <c r="O164" s="15" t="s">
        <v>56</v>
      </c>
      <c r="P164" s="17">
        <f>(Post[[#This Row],[Likes]]+Post[[#This Row],[Shares]]+Post[[#This Row],[Comments]])/Post[[#This Row],[Impressions]]</f>
        <v>0.23101532992668297</v>
      </c>
      <c r="Q164" s="15">
        <f t="shared" si="8"/>
        <v>5199</v>
      </c>
      <c r="R164" s="16">
        <f>_xlfn.XLOOKUP($O164,'Campaign Data '!$A:$A,'Campaign Data '!$B:$B)</f>
        <v>45667</v>
      </c>
      <c r="S164" s="16">
        <f>_xlfn.XLOOKUP($O164,'Campaign Data '!$A:$A,'Campaign Data '!$C:$C)</f>
        <v>45698</v>
      </c>
      <c r="T164" s="15" t="str">
        <f t="shared" si="7"/>
        <v>Before</v>
      </c>
    </row>
    <row r="165" spans="1:20" ht="15">
      <c r="A165" s="15" t="s">
        <v>351</v>
      </c>
      <c r="B165" s="15" t="s">
        <v>27</v>
      </c>
      <c r="C165" s="16">
        <v>45715</v>
      </c>
      <c r="D165" s="15" t="s">
        <v>22</v>
      </c>
      <c r="E165" s="15" t="s">
        <v>23</v>
      </c>
      <c r="F165" s="15">
        <v>4934</v>
      </c>
      <c r="G165" s="15">
        <v>971</v>
      </c>
      <c r="H165" s="15">
        <v>156</v>
      </c>
      <c r="I165" s="15">
        <v>39472</v>
      </c>
      <c r="J165" s="15">
        <v>39025</v>
      </c>
      <c r="K165" s="15">
        <v>169</v>
      </c>
      <c r="L165" s="15" t="s">
        <v>588</v>
      </c>
      <c r="M165" s="15" t="s">
        <v>585</v>
      </c>
      <c r="N165" s="15" t="str">
        <f t="shared" si="6"/>
        <v>FashionDeals,StyleWithMyntra</v>
      </c>
      <c r="O165" s="15" t="s">
        <v>25</v>
      </c>
      <c r="P165" s="17">
        <f>(Post[[#This Row],[Likes]]+Post[[#This Row],[Shares]]+Post[[#This Row],[Comments]])/Post[[#This Row],[Impressions]]</f>
        <v>0.15355188488042157</v>
      </c>
      <c r="Q165" s="15">
        <f t="shared" si="8"/>
        <v>6061</v>
      </c>
      <c r="R165" s="16">
        <f>_xlfn.XLOOKUP($O165,'Campaign Data '!$A:$A,'Campaign Data '!$B:$B)</f>
        <v>45453</v>
      </c>
      <c r="S165" s="16">
        <f>_xlfn.XLOOKUP($O165,'Campaign Data '!$A:$A,'Campaign Data '!$C:$C)</f>
        <v>45478</v>
      </c>
      <c r="T165" s="15" t="str">
        <f t="shared" si="7"/>
        <v>Before</v>
      </c>
    </row>
    <row r="166" spans="1:20" ht="15">
      <c r="A166" s="15" t="s">
        <v>352</v>
      </c>
      <c r="B166" s="15" t="s">
        <v>14</v>
      </c>
      <c r="C166" s="16">
        <v>45637</v>
      </c>
      <c r="D166" s="15" t="s">
        <v>22</v>
      </c>
      <c r="E166" s="15" t="s">
        <v>23</v>
      </c>
      <c r="F166" s="15">
        <v>3239</v>
      </c>
      <c r="G166" s="15">
        <v>43</v>
      </c>
      <c r="H166" s="15">
        <v>211</v>
      </c>
      <c r="I166" s="15">
        <v>22673</v>
      </c>
      <c r="J166" s="15">
        <v>22171</v>
      </c>
      <c r="K166" s="15">
        <v>230</v>
      </c>
      <c r="L166" s="15" t="s">
        <v>586</v>
      </c>
      <c r="M166" s="15" t="s">
        <v>585</v>
      </c>
      <c r="N166" s="15" t="str">
        <f t="shared" si="6"/>
        <v>MyntraTrend,StyleWithMyntra</v>
      </c>
      <c r="O166" s="15" t="s">
        <v>25</v>
      </c>
      <c r="P166" s="17">
        <f>(Post[[#This Row],[Likes]]+Post[[#This Row],[Shares]]+Post[[#This Row],[Comments]])/Post[[#This Row],[Impressions]]</f>
        <v>0.15405989502933004</v>
      </c>
      <c r="Q166" s="15">
        <f t="shared" si="8"/>
        <v>3493</v>
      </c>
      <c r="R166" s="16">
        <f>_xlfn.XLOOKUP($O166,'Campaign Data '!$A:$A,'Campaign Data '!$B:$B)</f>
        <v>45453</v>
      </c>
      <c r="S166" s="16">
        <f>_xlfn.XLOOKUP($O166,'Campaign Data '!$A:$A,'Campaign Data '!$C:$C)</f>
        <v>45478</v>
      </c>
      <c r="T166" s="15" t="str">
        <f t="shared" si="7"/>
        <v>Before</v>
      </c>
    </row>
    <row r="167" spans="1:20" ht="15">
      <c r="A167" s="15" t="s">
        <v>353</v>
      </c>
      <c r="B167" s="15" t="s">
        <v>14</v>
      </c>
      <c r="C167" s="16">
        <v>45704</v>
      </c>
      <c r="D167" s="15" t="s">
        <v>16</v>
      </c>
      <c r="E167" s="15" t="s">
        <v>17</v>
      </c>
      <c r="F167" s="15">
        <v>1076</v>
      </c>
      <c r="G167" s="15">
        <v>313</v>
      </c>
      <c r="H167" s="15">
        <v>306</v>
      </c>
      <c r="I167" s="15">
        <v>11836</v>
      </c>
      <c r="J167" s="15">
        <v>11596</v>
      </c>
      <c r="K167" s="15">
        <v>104</v>
      </c>
      <c r="L167" s="15" t="s">
        <v>588</v>
      </c>
      <c r="M167" s="15"/>
      <c r="N167" s="15" t="str">
        <f t="shared" si="6"/>
        <v>FashionDeals</v>
      </c>
      <c r="O167" s="15" t="s">
        <v>25</v>
      </c>
      <c r="P167" s="17">
        <f>(Post[[#This Row],[Likes]]+Post[[#This Row],[Shares]]+Post[[#This Row],[Comments]])/Post[[#This Row],[Impressions]]</f>
        <v>0.14320716458262928</v>
      </c>
      <c r="Q167" s="15">
        <f t="shared" si="8"/>
        <v>1695</v>
      </c>
      <c r="R167" s="16">
        <f>_xlfn.XLOOKUP($O167,'Campaign Data '!$A:$A,'Campaign Data '!$B:$B)</f>
        <v>45453</v>
      </c>
      <c r="S167" s="16">
        <f>_xlfn.XLOOKUP($O167,'Campaign Data '!$A:$A,'Campaign Data '!$C:$C)</f>
        <v>45478</v>
      </c>
      <c r="T167" s="15" t="str">
        <f t="shared" si="7"/>
        <v>Before</v>
      </c>
    </row>
    <row r="168" spans="1:20" ht="15">
      <c r="A168" s="15" t="s">
        <v>354</v>
      </c>
      <c r="B168" s="15" t="s">
        <v>31</v>
      </c>
      <c r="C168" s="16">
        <v>45624</v>
      </c>
      <c r="D168" s="15" t="s">
        <v>22</v>
      </c>
      <c r="E168" s="15" t="s">
        <v>23</v>
      </c>
      <c r="F168" s="15">
        <v>4771</v>
      </c>
      <c r="G168" s="15">
        <v>818</v>
      </c>
      <c r="H168" s="15">
        <v>56</v>
      </c>
      <c r="I168" s="15">
        <v>57252</v>
      </c>
      <c r="J168" s="15">
        <v>56378</v>
      </c>
      <c r="K168" s="15">
        <v>150</v>
      </c>
      <c r="L168" s="15" t="s">
        <v>583</v>
      </c>
      <c r="M168" s="15"/>
      <c r="N168" s="15" t="str">
        <f t="shared" si="6"/>
        <v>MyntraSale</v>
      </c>
      <c r="O168" s="15" t="s">
        <v>25</v>
      </c>
      <c r="P168" s="17">
        <f>(Post[[#This Row],[Likes]]+Post[[#This Row],[Shares]]+Post[[#This Row],[Comments]])/Post[[#This Row],[Impressions]]</f>
        <v>9.859917557465242E-2</v>
      </c>
      <c r="Q168" s="15">
        <f t="shared" si="8"/>
        <v>5645</v>
      </c>
      <c r="R168" s="16">
        <f>_xlfn.XLOOKUP($O168,'Campaign Data '!$A:$A,'Campaign Data '!$B:$B)</f>
        <v>45453</v>
      </c>
      <c r="S168" s="16">
        <f>_xlfn.XLOOKUP($O168,'Campaign Data '!$A:$A,'Campaign Data '!$C:$C)</f>
        <v>45478</v>
      </c>
      <c r="T168" s="15" t="str">
        <f t="shared" si="7"/>
        <v>Before</v>
      </c>
    </row>
    <row r="169" spans="1:20" ht="15">
      <c r="A169" s="15" t="s">
        <v>355</v>
      </c>
      <c r="B169" s="15" t="s">
        <v>41</v>
      </c>
      <c r="C169" s="16">
        <v>45608</v>
      </c>
      <c r="D169" s="15" t="s">
        <v>22</v>
      </c>
      <c r="E169" s="15" t="s">
        <v>23</v>
      </c>
      <c r="F169" s="15">
        <v>2418</v>
      </c>
      <c r="G169" s="15">
        <v>754</v>
      </c>
      <c r="H169" s="15">
        <v>54</v>
      </c>
      <c r="I169" s="15">
        <v>43524</v>
      </c>
      <c r="J169" s="15">
        <v>42743</v>
      </c>
      <c r="K169" s="15">
        <v>182</v>
      </c>
      <c r="L169" s="15" t="s">
        <v>584</v>
      </c>
      <c r="M169" s="15" t="s">
        <v>586</v>
      </c>
      <c r="N169" s="15" t="str">
        <f t="shared" si="6"/>
        <v>MyntraFashion,MyntraTrend</v>
      </c>
      <c r="O169" s="15" t="s">
        <v>56</v>
      </c>
      <c r="P169" s="17">
        <f>(Post[[#This Row],[Likes]]+Post[[#This Row],[Shares]]+Post[[#This Row],[Comments]])/Post[[#This Row],[Impressions]]</f>
        <v>7.412002573292896E-2</v>
      </c>
      <c r="Q169" s="15">
        <f t="shared" si="8"/>
        <v>3226</v>
      </c>
      <c r="R169" s="16">
        <f>_xlfn.XLOOKUP($O169,'Campaign Data '!$A:$A,'Campaign Data '!$B:$B)</f>
        <v>45667</v>
      </c>
      <c r="S169" s="16">
        <f>_xlfn.XLOOKUP($O169,'Campaign Data '!$A:$A,'Campaign Data '!$C:$C)</f>
        <v>45698</v>
      </c>
      <c r="T169" s="15" t="str">
        <f t="shared" si="7"/>
        <v>Before</v>
      </c>
    </row>
    <row r="170" spans="1:20" ht="15">
      <c r="A170" s="15" t="s">
        <v>357</v>
      </c>
      <c r="B170" s="15" t="s">
        <v>27</v>
      </c>
      <c r="C170" s="16">
        <v>45629</v>
      </c>
      <c r="D170" s="15" t="s">
        <v>70</v>
      </c>
      <c r="E170" s="15" t="s">
        <v>71</v>
      </c>
      <c r="F170" s="15">
        <v>3809</v>
      </c>
      <c r="G170" s="15">
        <v>273</v>
      </c>
      <c r="H170" s="15">
        <v>200</v>
      </c>
      <c r="I170" s="15">
        <v>34281</v>
      </c>
      <c r="J170" s="15">
        <v>33534</v>
      </c>
      <c r="K170" s="15">
        <v>83</v>
      </c>
      <c r="L170" s="15" t="s">
        <v>586</v>
      </c>
      <c r="M170" s="15"/>
      <c r="N170" s="15" t="str">
        <f t="shared" si="6"/>
        <v>MyntraTrend</v>
      </c>
      <c r="O170" s="15" t="s">
        <v>39</v>
      </c>
      <c r="P170" s="17">
        <f>(Post[[#This Row],[Likes]]+Post[[#This Row],[Shares]]+Post[[#This Row],[Comments]])/Post[[#This Row],[Impressions]]</f>
        <v>0.12490884163239112</v>
      </c>
      <c r="Q170" s="15">
        <f t="shared" si="8"/>
        <v>4282</v>
      </c>
      <c r="R170" s="16">
        <f>_xlfn.XLOOKUP($O170,'Campaign Data '!$A:$A,'Campaign Data '!$B:$B)</f>
        <v>45570</v>
      </c>
      <c r="S170" s="16">
        <f>_xlfn.XLOOKUP($O170,'Campaign Data '!$A:$A,'Campaign Data '!$C:$C)</f>
        <v>45601</v>
      </c>
      <c r="T170" s="15" t="str">
        <f t="shared" si="7"/>
        <v>Before</v>
      </c>
    </row>
    <row r="171" spans="1:20" ht="15">
      <c r="A171" s="15" t="s">
        <v>359</v>
      </c>
      <c r="B171" s="15" t="s">
        <v>14</v>
      </c>
      <c r="C171" s="16">
        <v>45775</v>
      </c>
      <c r="D171" s="15" t="s">
        <v>22</v>
      </c>
      <c r="E171" s="15" t="s">
        <v>23</v>
      </c>
      <c r="F171" s="15">
        <v>3577</v>
      </c>
      <c r="G171" s="15">
        <v>596</v>
      </c>
      <c r="H171" s="15">
        <v>493</v>
      </c>
      <c r="I171" s="15">
        <v>67963</v>
      </c>
      <c r="J171" s="15">
        <v>67839</v>
      </c>
      <c r="K171" s="15">
        <v>53</v>
      </c>
      <c r="L171" s="15" t="s">
        <v>585</v>
      </c>
      <c r="M171" s="15" t="s">
        <v>586</v>
      </c>
      <c r="N171" s="15" t="str">
        <f t="shared" si="6"/>
        <v>StyleWithMyntra,MyntraTrend</v>
      </c>
      <c r="O171" s="15" t="s">
        <v>56</v>
      </c>
      <c r="P171" s="17">
        <f>(Post[[#This Row],[Likes]]+Post[[#This Row],[Shares]]+Post[[#This Row],[Comments]])/Post[[#This Row],[Impressions]]</f>
        <v>6.8655003457763777E-2</v>
      </c>
      <c r="Q171" s="15">
        <f t="shared" si="8"/>
        <v>4666</v>
      </c>
      <c r="R171" s="16">
        <f>_xlfn.XLOOKUP($O171,'Campaign Data '!$A:$A,'Campaign Data '!$B:$B)</f>
        <v>45667</v>
      </c>
      <c r="S171" s="16">
        <f>_xlfn.XLOOKUP($O171,'Campaign Data '!$A:$A,'Campaign Data '!$C:$C)</f>
        <v>45698</v>
      </c>
      <c r="T171" s="15" t="str">
        <f t="shared" si="7"/>
        <v>Before</v>
      </c>
    </row>
    <row r="172" spans="1:20" ht="15">
      <c r="A172" s="15" t="s">
        <v>361</v>
      </c>
      <c r="B172" s="15" t="s">
        <v>27</v>
      </c>
      <c r="C172" s="16">
        <v>45657</v>
      </c>
      <c r="D172" s="15" t="s">
        <v>70</v>
      </c>
      <c r="E172" s="15" t="s">
        <v>71</v>
      </c>
      <c r="F172" s="15">
        <v>1018</v>
      </c>
      <c r="G172" s="15">
        <v>447</v>
      </c>
      <c r="H172" s="15">
        <v>332</v>
      </c>
      <c r="I172" s="15">
        <v>18324</v>
      </c>
      <c r="J172" s="15">
        <v>18164</v>
      </c>
      <c r="K172" s="15">
        <v>38</v>
      </c>
      <c r="L172" s="15" t="s">
        <v>583</v>
      </c>
      <c r="M172" s="15" t="s">
        <v>584</v>
      </c>
      <c r="N172" s="15" t="str">
        <f t="shared" si="6"/>
        <v>MyntraSale,MyntraFashion</v>
      </c>
      <c r="O172" s="15" t="s">
        <v>56</v>
      </c>
      <c r="P172" s="17">
        <f>(Post[[#This Row],[Likes]]+Post[[#This Row],[Shares]]+Post[[#This Row],[Comments]])/Post[[#This Row],[Impressions]]</f>
        <v>9.8068107400130972E-2</v>
      </c>
      <c r="Q172" s="15">
        <f t="shared" si="8"/>
        <v>1797</v>
      </c>
      <c r="R172" s="16">
        <f>_xlfn.XLOOKUP($O172,'Campaign Data '!$A:$A,'Campaign Data '!$B:$B)</f>
        <v>45667</v>
      </c>
      <c r="S172" s="16">
        <f>_xlfn.XLOOKUP($O172,'Campaign Data '!$A:$A,'Campaign Data '!$C:$C)</f>
        <v>45698</v>
      </c>
      <c r="T172" s="15" t="str">
        <f t="shared" si="7"/>
        <v>Before</v>
      </c>
    </row>
    <row r="173" spans="1:20" ht="15">
      <c r="A173" s="15" t="s">
        <v>363</v>
      </c>
      <c r="B173" s="15" t="s">
        <v>41</v>
      </c>
      <c r="C173" s="16">
        <v>45518</v>
      </c>
      <c r="D173" s="15" t="s">
        <v>43</v>
      </c>
      <c r="E173" s="15" t="s">
        <v>44</v>
      </c>
      <c r="F173" s="15">
        <v>3073</v>
      </c>
      <c r="G173" s="15">
        <v>553</v>
      </c>
      <c r="H173" s="15">
        <v>174</v>
      </c>
      <c r="I173" s="15">
        <v>52241</v>
      </c>
      <c r="J173" s="15">
        <v>51605</v>
      </c>
      <c r="K173" s="15">
        <v>246</v>
      </c>
      <c r="L173" s="15" t="s">
        <v>584</v>
      </c>
      <c r="M173" s="15" t="s">
        <v>585</v>
      </c>
      <c r="N173" s="15" t="str">
        <f t="shared" si="6"/>
        <v>MyntraFashion,StyleWithMyntra</v>
      </c>
      <c r="O173" s="15" t="s">
        <v>56</v>
      </c>
      <c r="P173" s="17">
        <f>(Post[[#This Row],[Likes]]+Post[[#This Row],[Shares]]+Post[[#This Row],[Comments]])/Post[[#This Row],[Impressions]]</f>
        <v>7.2739802071170159E-2</v>
      </c>
      <c r="Q173" s="15">
        <f t="shared" si="8"/>
        <v>3800</v>
      </c>
      <c r="R173" s="16">
        <f>_xlfn.XLOOKUP($O173,'Campaign Data '!$A:$A,'Campaign Data '!$B:$B)</f>
        <v>45667</v>
      </c>
      <c r="S173" s="16">
        <f>_xlfn.XLOOKUP($O173,'Campaign Data '!$A:$A,'Campaign Data '!$C:$C)</f>
        <v>45698</v>
      </c>
      <c r="T173" s="15" t="str">
        <f t="shared" si="7"/>
        <v>Before</v>
      </c>
    </row>
    <row r="174" spans="1:20" ht="15">
      <c r="A174" s="15" t="s">
        <v>365</v>
      </c>
      <c r="B174" s="15" t="s">
        <v>14</v>
      </c>
      <c r="C174" s="16">
        <v>45631</v>
      </c>
      <c r="D174" s="15" t="s">
        <v>70</v>
      </c>
      <c r="E174" s="15" t="s">
        <v>71</v>
      </c>
      <c r="F174" s="15">
        <v>1330</v>
      </c>
      <c r="G174" s="15">
        <v>925</v>
      </c>
      <c r="H174" s="15">
        <v>35</v>
      </c>
      <c r="I174" s="15">
        <v>15960</v>
      </c>
      <c r="J174" s="15">
        <v>15379</v>
      </c>
      <c r="K174" s="15">
        <v>229</v>
      </c>
      <c r="L174" s="15" t="s">
        <v>588</v>
      </c>
      <c r="M174" s="15" t="s">
        <v>586</v>
      </c>
      <c r="N174" s="15" t="str">
        <f t="shared" si="6"/>
        <v>FashionDeals,MyntraTrend</v>
      </c>
      <c r="O174" s="15" t="s">
        <v>56</v>
      </c>
      <c r="P174" s="17">
        <f>(Post[[#This Row],[Likes]]+Post[[#This Row],[Shares]]+Post[[#This Row],[Comments]])/Post[[#This Row],[Impressions]]</f>
        <v>0.14348370927318296</v>
      </c>
      <c r="Q174" s="15">
        <f t="shared" si="8"/>
        <v>2290</v>
      </c>
      <c r="R174" s="16">
        <f>_xlfn.XLOOKUP($O174,'Campaign Data '!$A:$A,'Campaign Data '!$B:$B)</f>
        <v>45667</v>
      </c>
      <c r="S174" s="16">
        <f>_xlfn.XLOOKUP($O174,'Campaign Data '!$A:$A,'Campaign Data '!$C:$C)</f>
        <v>45698</v>
      </c>
      <c r="T174" s="15" t="str">
        <f t="shared" si="7"/>
        <v>Before</v>
      </c>
    </row>
    <row r="175" spans="1:20" ht="15">
      <c r="A175" s="15" t="s">
        <v>367</v>
      </c>
      <c r="B175" s="15" t="s">
        <v>41</v>
      </c>
      <c r="C175" s="16">
        <v>45465</v>
      </c>
      <c r="D175" s="15" t="s">
        <v>22</v>
      </c>
      <c r="E175" s="15" t="s">
        <v>23</v>
      </c>
      <c r="F175" s="15">
        <v>3828</v>
      </c>
      <c r="G175" s="15">
        <v>148</v>
      </c>
      <c r="H175" s="15">
        <v>253</v>
      </c>
      <c r="I175" s="15">
        <v>30624</v>
      </c>
      <c r="J175" s="15">
        <v>30229</v>
      </c>
      <c r="K175" s="15">
        <v>235</v>
      </c>
      <c r="L175" s="15" t="s">
        <v>583</v>
      </c>
      <c r="M175" s="15" t="s">
        <v>585</v>
      </c>
      <c r="N175" s="15" t="str">
        <f t="shared" si="6"/>
        <v>MyntraSale,StyleWithMyntra</v>
      </c>
      <c r="O175" s="15" t="s">
        <v>56</v>
      </c>
      <c r="P175" s="17">
        <f>(Post[[#This Row],[Likes]]+Post[[#This Row],[Shares]]+Post[[#This Row],[Comments]])/Post[[#This Row],[Impressions]]</f>
        <v>0.13809430512016718</v>
      </c>
      <c r="Q175" s="15">
        <f t="shared" si="8"/>
        <v>4229</v>
      </c>
      <c r="R175" s="16">
        <f>_xlfn.XLOOKUP($O175,'Campaign Data '!$A:$A,'Campaign Data '!$B:$B)</f>
        <v>45667</v>
      </c>
      <c r="S175" s="16">
        <f>_xlfn.XLOOKUP($O175,'Campaign Data '!$A:$A,'Campaign Data '!$C:$C)</f>
        <v>45698</v>
      </c>
      <c r="T175" s="15" t="str">
        <f t="shared" si="7"/>
        <v>Before</v>
      </c>
    </row>
    <row r="176" spans="1:20" ht="15">
      <c r="A176" s="15" t="s">
        <v>368</v>
      </c>
      <c r="B176" s="15" t="s">
        <v>31</v>
      </c>
      <c r="C176" s="16">
        <v>45674</v>
      </c>
      <c r="D176" s="15" t="s">
        <v>16</v>
      </c>
      <c r="E176" s="15" t="s">
        <v>17</v>
      </c>
      <c r="F176" s="15">
        <v>142</v>
      </c>
      <c r="G176" s="15">
        <v>784</v>
      </c>
      <c r="H176" s="15">
        <v>183</v>
      </c>
      <c r="I176" s="15">
        <v>1704</v>
      </c>
      <c r="J176" s="15">
        <v>995</v>
      </c>
      <c r="K176" s="15">
        <v>154</v>
      </c>
      <c r="L176" s="15" t="s">
        <v>583</v>
      </c>
      <c r="M176" s="15"/>
      <c r="N176" s="15" t="str">
        <f t="shared" si="6"/>
        <v>MyntraSale</v>
      </c>
      <c r="O176" s="15" t="s">
        <v>19</v>
      </c>
      <c r="P176" s="17">
        <f>(Post[[#This Row],[Likes]]+Post[[#This Row],[Shares]]+Post[[#This Row],[Comments]])/Post[[#This Row],[Impressions]]</f>
        <v>0.6508215962441315</v>
      </c>
      <c r="Q176" s="15">
        <f t="shared" si="8"/>
        <v>1109</v>
      </c>
      <c r="R176" s="16">
        <f>_xlfn.XLOOKUP($O176,'Campaign Data '!$A:$A,'Campaign Data '!$B:$B)</f>
        <v>45505</v>
      </c>
      <c r="S176" s="16">
        <f>_xlfn.XLOOKUP($O176,'Campaign Data '!$A:$A,'Campaign Data '!$C:$C)</f>
        <v>45535</v>
      </c>
      <c r="T176" s="15" t="str">
        <f t="shared" si="7"/>
        <v>Before</v>
      </c>
    </row>
    <row r="177" spans="1:20" ht="15">
      <c r="A177" s="15" t="s">
        <v>370</v>
      </c>
      <c r="B177" s="15" t="s">
        <v>41</v>
      </c>
      <c r="C177" s="16">
        <v>45463</v>
      </c>
      <c r="D177" s="15" t="s">
        <v>70</v>
      </c>
      <c r="E177" s="15" t="s">
        <v>71</v>
      </c>
      <c r="F177" s="15">
        <v>3798</v>
      </c>
      <c r="G177" s="15">
        <v>31</v>
      </c>
      <c r="H177" s="15">
        <v>279</v>
      </c>
      <c r="I177" s="15">
        <v>75960</v>
      </c>
      <c r="J177" s="15">
        <v>75813</v>
      </c>
      <c r="K177" s="15">
        <v>266</v>
      </c>
      <c r="L177" s="15" t="s">
        <v>584</v>
      </c>
      <c r="M177" s="15"/>
      <c r="N177" s="15" t="str">
        <f t="shared" si="6"/>
        <v>MyntraFashion</v>
      </c>
      <c r="O177" s="15" t="s">
        <v>25</v>
      </c>
      <c r="P177" s="17">
        <f>(Post[[#This Row],[Likes]]+Post[[#This Row],[Shares]]+Post[[#This Row],[Comments]])/Post[[#This Row],[Impressions]]</f>
        <v>5.4081095313322801E-2</v>
      </c>
      <c r="Q177" s="15">
        <f t="shared" si="8"/>
        <v>4108</v>
      </c>
      <c r="R177" s="16">
        <f>_xlfn.XLOOKUP($O177,'Campaign Data '!$A:$A,'Campaign Data '!$B:$B)</f>
        <v>45453</v>
      </c>
      <c r="S177" s="16">
        <f>_xlfn.XLOOKUP($O177,'Campaign Data '!$A:$A,'Campaign Data '!$C:$C)</f>
        <v>45478</v>
      </c>
      <c r="T177" s="15" t="str">
        <f t="shared" si="7"/>
        <v>During</v>
      </c>
    </row>
    <row r="178" spans="1:20" ht="15">
      <c r="A178" s="15" t="s">
        <v>372</v>
      </c>
      <c r="B178" s="15" t="s">
        <v>31</v>
      </c>
      <c r="C178" s="16">
        <v>45483</v>
      </c>
      <c r="D178" s="15" t="s">
        <v>43</v>
      </c>
      <c r="E178" s="15" t="s">
        <v>44</v>
      </c>
      <c r="F178" s="15">
        <v>3099</v>
      </c>
      <c r="G178" s="15">
        <v>694</v>
      </c>
      <c r="H178" s="15">
        <v>171</v>
      </c>
      <c r="I178" s="15">
        <v>43386</v>
      </c>
      <c r="J178" s="15">
        <v>42921</v>
      </c>
      <c r="K178" s="15">
        <v>52</v>
      </c>
      <c r="L178" s="15" t="s">
        <v>588</v>
      </c>
      <c r="M178" s="15"/>
      <c r="N178" s="15" t="str">
        <f t="shared" si="6"/>
        <v>FashionDeals</v>
      </c>
      <c r="O178" s="15" t="s">
        <v>56</v>
      </c>
      <c r="P178" s="17">
        <f>(Post[[#This Row],[Likes]]+Post[[#This Row],[Shares]]+Post[[#This Row],[Comments]])/Post[[#This Row],[Impressions]]</f>
        <v>9.1365878393951966E-2</v>
      </c>
      <c r="Q178" s="15">
        <f t="shared" si="8"/>
        <v>3964</v>
      </c>
      <c r="R178" s="16">
        <f>_xlfn.XLOOKUP($O178,'Campaign Data '!$A:$A,'Campaign Data '!$B:$B)</f>
        <v>45667</v>
      </c>
      <c r="S178" s="16">
        <f>_xlfn.XLOOKUP($O178,'Campaign Data '!$A:$A,'Campaign Data '!$C:$C)</f>
        <v>45698</v>
      </c>
      <c r="T178" s="15" t="str">
        <f t="shared" si="7"/>
        <v>Before</v>
      </c>
    </row>
    <row r="179" spans="1:20" ht="15">
      <c r="A179" s="15" t="s">
        <v>374</v>
      </c>
      <c r="B179" s="15" t="s">
        <v>31</v>
      </c>
      <c r="C179" s="16">
        <v>45603</v>
      </c>
      <c r="D179" s="15" t="s">
        <v>70</v>
      </c>
      <c r="E179" s="15" t="s">
        <v>71</v>
      </c>
      <c r="F179" s="15">
        <v>129</v>
      </c>
      <c r="G179" s="15">
        <v>643</v>
      </c>
      <c r="H179" s="15">
        <v>136</v>
      </c>
      <c r="I179" s="15">
        <v>1290</v>
      </c>
      <c r="J179" s="15">
        <v>839</v>
      </c>
      <c r="K179" s="15">
        <v>238</v>
      </c>
      <c r="L179" s="15" t="s">
        <v>585</v>
      </c>
      <c r="M179" s="15" t="s">
        <v>588</v>
      </c>
      <c r="N179" s="15" t="str">
        <f t="shared" si="6"/>
        <v>StyleWithMyntra,FashionDeals</v>
      </c>
      <c r="O179" s="15" t="s">
        <v>56</v>
      </c>
      <c r="P179" s="17">
        <f>(Post[[#This Row],[Likes]]+Post[[#This Row],[Shares]]+Post[[#This Row],[Comments]])/Post[[#This Row],[Impressions]]</f>
        <v>0.70387596899224802</v>
      </c>
      <c r="Q179" s="15">
        <f t="shared" si="8"/>
        <v>908</v>
      </c>
      <c r="R179" s="16">
        <f>_xlfn.XLOOKUP($O179,'Campaign Data '!$A:$A,'Campaign Data '!$B:$B)</f>
        <v>45667</v>
      </c>
      <c r="S179" s="16">
        <f>_xlfn.XLOOKUP($O179,'Campaign Data '!$A:$A,'Campaign Data '!$C:$C)</f>
        <v>45698</v>
      </c>
      <c r="T179" s="15" t="str">
        <f t="shared" si="7"/>
        <v>Before</v>
      </c>
    </row>
    <row r="180" spans="1:20" ht="15">
      <c r="A180" s="15" t="s">
        <v>375</v>
      </c>
      <c r="B180" s="15" t="s">
        <v>41</v>
      </c>
      <c r="C180" s="16">
        <v>45488</v>
      </c>
      <c r="D180" s="15" t="s">
        <v>43</v>
      </c>
      <c r="E180" s="15" t="s">
        <v>44</v>
      </c>
      <c r="F180" s="15">
        <v>3796</v>
      </c>
      <c r="G180" s="15">
        <v>667</v>
      </c>
      <c r="H180" s="15">
        <v>395</v>
      </c>
      <c r="I180" s="15">
        <v>64532</v>
      </c>
      <c r="J180" s="15">
        <v>63550</v>
      </c>
      <c r="K180" s="15">
        <v>292</v>
      </c>
      <c r="L180" s="15" t="s">
        <v>585</v>
      </c>
      <c r="M180" s="15"/>
      <c r="N180" s="15" t="str">
        <f t="shared" si="6"/>
        <v>StyleWithMyntra</v>
      </c>
      <c r="O180" s="15" t="s">
        <v>19</v>
      </c>
      <c r="P180" s="17">
        <f>(Post[[#This Row],[Likes]]+Post[[#This Row],[Shares]]+Post[[#This Row],[Comments]])/Post[[#This Row],[Impressions]]</f>
        <v>7.5280481001673588E-2</v>
      </c>
      <c r="Q180" s="15">
        <f t="shared" si="8"/>
        <v>4858</v>
      </c>
      <c r="R180" s="16">
        <f>_xlfn.XLOOKUP($O180,'Campaign Data '!$A:$A,'Campaign Data '!$B:$B)</f>
        <v>45505</v>
      </c>
      <c r="S180" s="16">
        <f>_xlfn.XLOOKUP($O180,'Campaign Data '!$A:$A,'Campaign Data '!$C:$C)</f>
        <v>45535</v>
      </c>
      <c r="T180" s="15" t="str">
        <f t="shared" si="7"/>
        <v>Before</v>
      </c>
    </row>
    <row r="181" spans="1:20" ht="15">
      <c r="A181" s="15" t="s">
        <v>376</v>
      </c>
      <c r="B181" s="15" t="s">
        <v>27</v>
      </c>
      <c r="C181" s="16">
        <v>45629</v>
      </c>
      <c r="D181" s="15" t="s">
        <v>22</v>
      </c>
      <c r="E181" s="15" t="s">
        <v>23</v>
      </c>
      <c r="F181" s="15">
        <v>3711</v>
      </c>
      <c r="G181" s="15">
        <v>352</v>
      </c>
      <c r="H181" s="15">
        <v>290</v>
      </c>
      <c r="I181" s="15">
        <v>48243</v>
      </c>
      <c r="J181" s="15">
        <v>47579</v>
      </c>
      <c r="K181" s="15">
        <v>11</v>
      </c>
      <c r="L181" s="15" t="s">
        <v>585</v>
      </c>
      <c r="M181" s="15" t="s">
        <v>588</v>
      </c>
      <c r="N181" s="15" t="str">
        <f t="shared" si="6"/>
        <v>StyleWithMyntra,FashionDeals</v>
      </c>
      <c r="O181" s="15" t="s">
        <v>56</v>
      </c>
      <c r="P181" s="17">
        <f>(Post[[#This Row],[Likes]]+Post[[#This Row],[Shares]]+Post[[#This Row],[Comments]])/Post[[#This Row],[Impressions]]</f>
        <v>9.023070704558174E-2</v>
      </c>
      <c r="Q181" s="15">
        <f t="shared" si="8"/>
        <v>4353</v>
      </c>
      <c r="R181" s="16">
        <f>_xlfn.XLOOKUP($O181,'Campaign Data '!$A:$A,'Campaign Data '!$B:$B)</f>
        <v>45667</v>
      </c>
      <c r="S181" s="16">
        <f>_xlfn.XLOOKUP($O181,'Campaign Data '!$A:$A,'Campaign Data '!$C:$C)</f>
        <v>45698</v>
      </c>
      <c r="T181" s="15" t="str">
        <f t="shared" si="7"/>
        <v>Before</v>
      </c>
    </row>
    <row r="182" spans="1:20" ht="15">
      <c r="A182" s="15" t="s">
        <v>377</v>
      </c>
      <c r="B182" s="15" t="s">
        <v>27</v>
      </c>
      <c r="C182" s="16">
        <v>45737</v>
      </c>
      <c r="D182" s="15" t="s">
        <v>50</v>
      </c>
      <c r="E182" s="15" t="s">
        <v>51</v>
      </c>
      <c r="F182" s="15">
        <v>606</v>
      </c>
      <c r="G182" s="15">
        <v>789</v>
      </c>
      <c r="H182" s="15">
        <v>470</v>
      </c>
      <c r="I182" s="15">
        <v>7878</v>
      </c>
      <c r="J182" s="15">
        <v>7389</v>
      </c>
      <c r="K182" s="15">
        <v>239</v>
      </c>
      <c r="L182" s="15" t="s">
        <v>583</v>
      </c>
      <c r="M182" s="15"/>
      <c r="N182" s="15" t="str">
        <f t="shared" si="6"/>
        <v>MyntraSale</v>
      </c>
      <c r="O182" s="15" t="s">
        <v>25</v>
      </c>
      <c r="P182" s="17">
        <f>(Post[[#This Row],[Likes]]+Post[[#This Row],[Shares]]+Post[[#This Row],[Comments]])/Post[[#This Row],[Impressions]]</f>
        <v>0.23673521198273673</v>
      </c>
      <c r="Q182" s="15">
        <f t="shared" si="8"/>
        <v>1865</v>
      </c>
      <c r="R182" s="16">
        <f>_xlfn.XLOOKUP($O182,'Campaign Data '!$A:$A,'Campaign Data '!$B:$B)</f>
        <v>45453</v>
      </c>
      <c r="S182" s="16">
        <f>_xlfn.XLOOKUP($O182,'Campaign Data '!$A:$A,'Campaign Data '!$C:$C)</f>
        <v>45478</v>
      </c>
      <c r="T182" s="15" t="str">
        <f t="shared" si="7"/>
        <v>Before</v>
      </c>
    </row>
    <row r="183" spans="1:20" ht="15">
      <c r="A183" s="15" t="s">
        <v>379</v>
      </c>
      <c r="B183" s="15" t="s">
        <v>41</v>
      </c>
      <c r="C183" s="16">
        <v>45504</v>
      </c>
      <c r="D183" s="15" t="s">
        <v>50</v>
      </c>
      <c r="E183" s="15" t="s">
        <v>51</v>
      </c>
      <c r="F183" s="15">
        <v>4689</v>
      </c>
      <c r="G183" s="15">
        <v>134</v>
      </c>
      <c r="H183" s="15">
        <v>403</v>
      </c>
      <c r="I183" s="15">
        <v>51579</v>
      </c>
      <c r="J183" s="15">
        <v>50924</v>
      </c>
      <c r="K183" s="15">
        <v>173</v>
      </c>
      <c r="L183" s="15" t="s">
        <v>588</v>
      </c>
      <c r="M183" s="15"/>
      <c r="N183" s="15" t="str">
        <f t="shared" si="6"/>
        <v>FashionDeals</v>
      </c>
      <c r="O183" s="15" t="s">
        <v>19</v>
      </c>
      <c r="P183" s="17">
        <f>(Post[[#This Row],[Likes]]+Post[[#This Row],[Shares]]+Post[[#This Row],[Comments]])/Post[[#This Row],[Impressions]]</f>
        <v>0.10132030477519921</v>
      </c>
      <c r="Q183" s="15">
        <f t="shared" si="8"/>
        <v>5226</v>
      </c>
      <c r="R183" s="16">
        <f>_xlfn.XLOOKUP($O183,'Campaign Data '!$A:$A,'Campaign Data '!$B:$B)</f>
        <v>45505</v>
      </c>
      <c r="S183" s="16">
        <f>_xlfn.XLOOKUP($O183,'Campaign Data '!$A:$A,'Campaign Data '!$C:$C)</f>
        <v>45535</v>
      </c>
      <c r="T183" s="15" t="str">
        <f t="shared" si="7"/>
        <v>Before</v>
      </c>
    </row>
    <row r="184" spans="1:20" ht="15">
      <c r="A184" s="15" t="s">
        <v>380</v>
      </c>
      <c r="B184" s="15" t="s">
        <v>31</v>
      </c>
      <c r="C184" s="16">
        <v>45643</v>
      </c>
      <c r="D184" s="15" t="s">
        <v>33</v>
      </c>
      <c r="E184" s="15" t="s">
        <v>34</v>
      </c>
      <c r="F184" s="15">
        <v>360</v>
      </c>
      <c r="G184" s="15">
        <v>590</v>
      </c>
      <c r="H184" s="15">
        <v>393</v>
      </c>
      <c r="I184" s="15">
        <v>4680</v>
      </c>
      <c r="J184" s="15">
        <v>4322</v>
      </c>
      <c r="K184" s="15">
        <v>208</v>
      </c>
      <c r="L184" s="15" t="s">
        <v>585</v>
      </c>
      <c r="M184" s="15" t="s">
        <v>588</v>
      </c>
      <c r="N184" s="15" t="str">
        <f t="shared" si="6"/>
        <v>StyleWithMyntra,FashionDeals</v>
      </c>
      <c r="O184" s="15" t="s">
        <v>25</v>
      </c>
      <c r="P184" s="17">
        <f>(Post[[#This Row],[Likes]]+Post[[#This Row],[Shares]]+Post[[#This Row],[Comments]])/Post[[#This Row],[Impressions]]</f>
        <v>0.28696581196581195</v>
      </c>
      <c r="Q184" s="15">
        <f t="shared" si="8"/>
        <v>1343</v>
      </c>
      <c r="R184" s="16">
        <f>_xlfn.XLOOKUP($O184,'Campaign Data '!$A:$A,'Campaign Data '!$B:$B)</f>
        <v>45453</v>
      </c>
      <c r="S184" s="16">
        <f>_xlfn.XLOOKUP($O184,'Campaign Data '!$A:$A,'Campaign Data '!$C:$C)</f>
        <v>45478</v>
      </c>
      <c r="T184" s="15" t="str">
        <f t="shared" si="7"/>
        <v>Before</v>
      </c>
    </row>
    <row r="185" spans="1:20" ht="15">
      <c r="A185" s="15" t="s">
        <v>382</v>
      </c>
      <c r="B185" s="15" t="s">
        <v>14</v>
      </c>
      <c r="C185" s="16">
        <v>45501</v>
      </c>
      <c r="D185" s="15" t="s">
        <v>50</v>
      </c>
      <c r="E185" s="15" t="s">
        <v>51</v>
      </c>
      <c r="F185" s="15">
        <v>3215</v>
      </c>
      <c r="G185" s="15">
        <v>960</v>
      </c>
      <c r="H185" s="15">
        <v>202</v>
      </c>
      <c r="I185" s="15">
        <v>32150</v>
      </c>
      <c r="J185" s="15">
        <v>31404</v>
      </c>
      <c r="K185" s="15">
        <v>251</v>
      </c>
      <c r="L185" s="15" t="s">
        <v>585</v>
      </c>
      <c r="M185" s="15"/>
      <c r="N185" s="15" t="str">
        <f t="shared" si="6"/>
        <v>StyleWithMyntra</v>
      </c>
      <c r="O185" s="15" t="s">
        <v>39</v>
      </c>
      <c r="P185" s="17">
        <f>(Post[[#This Row],[Likes]]+Post[[#This Row],[Shares]]+Post[[#This Row],[Comments]])/Post[[#This Row],[Impressions]]</f>
        <v>0.13614307931570763</v>
      </c>
      <c r="Q185" s="15">
        <f t="shared" si="8"/>
        <v>4377</v>
      </c>
      <c r="R185" s="16">
        <f>_xlfn.XLOOKUP($O185,'Campaign Data '!$A:$A,'Campaign Data '!$B:$B)</f>
        <v>45570</v>
      </c>
      <c r="S185" s="16">
        <f>_xlfn.XLOOKUP($O185,'Campaign Data '!$A:$A,'Campaign Data '!$C:$C)</f>
        <v>45601</v>
      </c>
      <c r="T185" s="15" t="str">
        <f t="shared" si="7"/>
        <v>Before</v>
      </c>
    </row>
    <row r="186" spans="1:20" ht="15">
      <c r="A186" s="15" t="s">
        <v>384</v>
      </c>
      <c r="B186" s="15" t="s">
        <v>31</v>
      </c>
      <c r="C186" s="16">
        <v>45668</v>
      </c>
      <c r="D186" s="15" t="s">
        <v>43</v>
      </c>
      <c r="E186" s="15" t="s">
        <v>44</v>
      </c>
      <c r="F186" s="15">
        <v>4523</v>
      </c>
      <c r="G186" s="15">
        <v>61</v>
      </c>
      <c r="H186" s="15">
        <v>157</v>
      </c>
      <c r="I186" s="15">
        <v>49753</v>
      </c>
      <c r="J186" s="15">
        <v>49329</v>
      </c>
      <c r="K186" s="15">
        <v>71</v>
      </c>
      <c r="L186" s="15" t="s">
        <v>583</v>
      </c>
      <c r="M186" s="15" t="s">
        <v>586</v>
      </c>
      <c r="N186" s="15" t="str">
        <f t="shared" si="6"/>
        <v>MyntraSale,MyntraTrend</v>
      </c>
      <c r="O186" s="15" t="s">
        <v>56</v>
      </c>
      <c r="P186" s="17">
        <f>(Post[[#This Row],[Likes]]+Post[[#This Row],[Shares]]+Post[[#This Row],[Comments]])/Post[[#This Row],[Impressions]]</f>
        <v>9.5290736237010829E-2</v>
      </c>
      <c r="Q186" s="15">
        <f t="shared" si="8"/>
        <v>4741</v>
      </c>
      <c r="R186" s="16">
        <f>_xlfn.XLOOKUP($O186,'Campaign Data '!$A:$A,'Campaign Data '!$B:$B)</f>
        <v>45667</v>
      </c>
      <c r="S186" s="16">
        <f>_xlfn.XLOOKUP($O186,'Campaign Data '!$A:$A,'Campaign Data '!$C:$C)</f>
        <v>45698</v>
      </c>
      <c r="T186" s="15" t="str">
        <f t="shared" si="7"/>
        <v>During</v>
      </c>
    </row>
    <row r="187" spans="1:20" ht="15">
      <c r="A187" s="15" t="s">
        <v>386</v>
      </c>
      <c r="B187" s="15" t="s">
        <v>41</v>
      </c>
      <c r="C187" s="16">
        <v>45528</v>
      </c>
      <c r="D187" s="15" t="s">
        <v>43</v>
      </c>
      <c r="E187" s="15" t="s">
        <v>44</v>
      </c>
      <c r="F187" s="15">
        <v>4292</v>
      </c>
      <c r="G187" s="15">
        <v>51</v>
      </c>
      <c r="H187" s="15">
        <v>392</v>
      </c>
      <c r="I187" s="15">
        <v>55796</v>
      </c>
      <c r="J187" s="15">
        <v>54826</v>
      </c>
      <c r="K187" s="15">
        <v>264</v>
      </c>
      <c r="L187" s="15" t="s">
        <v>586</v>
      </c>
      <c r="M187" s="15" t="s">
        <v>585</v>
      </c>
      <c r="N187" s="15" t="str">
        <f t="shared" si="6"/>
        <v>MyntraTrend,StyleWithMyntra</v>
      </c>
      <c r="O187" s="15" t="s">
        <v>19</v>
      </c>
      <c r="P187" s="17">
        <f>(Post[[#This Row],[Likes]]+Post[[#This Row],[Shares]]+Post[[#This Row],[Comments]])/Post[[#This Row],[Impressions]]</f>
        <v>8.4862714173059003E-2</v>
      </c>
      <c r="Q187" s="15">
        <f t="shared" si="8"/>
        <v>4735</v>
      </c>
      <c r="R187" s="16">
        <f>_xlfn.XLOOKUP($O187,'Campaign Data '!$A:$A,'Campaign Data '!$B:$B)</f>
        <v>45505</v>
      </c>
      <c r="S187" s="16">
        <f>_xlfn.XLOOKUP($O187,'Campaign Data '!$A:$A,'Campaign Data '!$C:$C)</f>
        <v>45535</v>
      </c>
      <c r="T187" s="15" t="str">
        <f t="shared" si="7"/>
        <v>During</v>
      </c>
    </row>
    <row r="188" spans="1:20" ht="15">
      <c r="A188" s="15" t="s">
        <v>387</v>
      </c>
      <c r="B188" s="15" t="s">
        <v>14</v>
      </c>
      <c r="C188" s="16">
        <v>45648</v>
      </c>
      <c r="D188" s="15" t="s">
        <v>16</v>
      </c>
      <c r="E188" s="15" t="s">
        <v>17</v>
      </c>
      <c r="F188" s="15">
        <v>1644</v>
      </c>
      <c r="G188" s="15">
        <v>546</v>
      </c>
      <c r="H188" s="15">
        <v>150</v>
      </c>
      <c r="I188" s="15">
        <v>27948</v>
      </c>
      <c r="J188" s="15">
        <v>27184</v>
      </c>
      <c r="K188" s="15">
        <v>300</v>
      </c>
      <c r="L188" s="15" t="s">
        <v>583</v>
      </c>
      <c r="M188" s="15" t="s">
        <v>586</v>
      </c>
      <c r="N188" s="15" t="str">
        <f t="shared" si="6"/>
        <v>MyntraSale,MyntraTrend</v>
      </c>
      <c r="O188" s="15" t="s">
        <v>19</v>
      </c>
      <c r="P188" s="17">
        <f>(Post[[#This Row],[Likes]]+Post[[#This Row],[Shares]]+Post[[#This Row],[Comments]])/Post[[#This Row],[Impressions]]</f>
        <v>8.3726921425504502E-2</v>
      </c>
      <c r="Q188" s="15">
        <f t="shared" si="8"/>
        <v>2340</v>
      </c>
      <c r="R188" s="16">
        <f>_xlfn.XLOOKUP($O188,'Campaign Data '!$A:$A,'Campaign Data '!$B:$B)</f>
        <v>45505</v>
      </c>
      <c r="S188" s="16">
        <f>_xlfn.XLOOKUP($O188,'Campaign Data '!$A:$A,'Campaign Data '!$C:$C)</f>
        <v>45535</v>
      </c>
      <c r="T188" s="15" t="str">
        <f t="shared" si="7"/>
        <v>Before</v>
      </c>
    </row>
    <row r="189" spans="1:20" ht="15">
      <c r="A189" s="15" t="s">
        <v>389</v>
      </c>
      <c r="B189" s="15" t="s">
        <v>27</v>
      </c>
      <c r="C189" s="16">
        <v>45449</v>
      </c>
      <c r="D189" s="15" t="s">
        <v>16</v>
      </c>
      <c r="E189" s="15" t="s">
        <v>17</v>
      </c>
      <c r="F189" s="15">
        <v>2728</v>
      </c>
      <c r="G189" s="15">
        <v>533</v>
      </c>
      <c r="H189" s="15">
        <v>215</v>
      </c>
      <c r="I189" s="15">
        <v>40920</v>
      </c>
      <c r="J189" s="15">
        <v>40816</v>
      </c>
      <c r="K189" s="15">
        <v>137</v>
      </c>
      <c r="L189" s="15" t="s">
        <v>583</v>
      </c>
      <c r="M189" s="15"/>
      <c r="N189" s="15" t="str">
        <f t="shared" si="6"/>
        <v>MyntraSale</v>
      </c>
      <c r="O189" s="15" t="s">
        <v>25</v>
      </c>
      <c r="P189" s="17">
        <f>(Post[[#This Row],[Likes]]+Post[[#This Row],[Shares]]+Post[[#This Row],[Comments]])/Post[[#This Row],[Impressions]]</f>
        <v>8.4946236559139784E-2</v>
      </c>
      <c r="Q189" s="15">
        <f t="shared" si="8"/>
        <v>3476</v>
      </c>
      <c r="R189" s="16">
        <f>_xlfn.XLOOKUP($O189,'Campaign Data '!$A:$A,'Campaign Data '!$B:$B)</f>
        <v>45453</v>
      </c>
      <c r="S189" s="16">
        <f>_xlfn.XLOOKUP($O189,'Campaign Data '!$A:$A,'Campaign Data '!$C:$C)</f>
        <v>45478</v>
      </c>
      <c r="T189" s="15" t="str">
        <f t="shared" si="7"/>
        <v>Before</v>
      </c>
    </row>
    <row r="190" spans="1:20" ht="15">
      <c r="A190" s="15" t="s">
        <v>390</v>
      </c>
      <c r="B190" s="15" t="s">
        <v>41</v>
      </c>
      <c r="C190" s="16">
        <v>45740</v>
      </c>
      <c r="D190" s="15" t="s">
        <v>16</v>
      </c>
      <c r="E190" s="15" t="s">
        <v>17</v>
      </c>
      <c r="F190" s="15">
        <v>3360</v>
      </c>
      <c r="G190" s="15">
        <v>525</v>
      </c>
      <c r="H190" s="15">
        <v>500</v>
      </c>
      <c r="I190" s="15">
        <v>60480</v>
      </c>
      <c r="J190" s="15">
        <v>59610</v>
      </c>
      <c r="K190" s="15">
        <v>192</v>
      </c>
      <c r="L190" s="15" t="s">
        <v>583</v>
      </c>
      <c r="M190" s="15" t="s">
        <v>585</v>
      </c>
      <c r="N190" s="15" t="str">
        <f t="shared" si="6"/>
        <v>MyntraSale,StyleWithMyntra</v>
      </c>
      <c r="O190" s="15" t="s">
        <v>19</v>
      </c>
      <c r="P190" s="17">
        <f>(Post[[#This Row],[Likes]]+Post[[#This Row],[Shares]]+Post[[#This Row],[Comments]])/Post[[#This Row],[Impressions]]</f>
        <v>7.2503306878306875E-2</v>
      </c>
      <c r="Q190" s="15">
        <f t="shared" si="8"/>
        <v>4385</v>
      </c>
      <c r="R190" s="16">
        <f>_xlfn.XLOOKUP($O190,'Campaign Data '!$A:$A,'Campaign Data '!$B:$B)</f>
        <v>45505</v>
      </c>
      <c r="S190" s="16">
        <f>_xlfn.XLOOKUP($O190,'Campaign Data '!$A:$A,'Campaign Data '!$C:$C)</f>
        <v>45535</v>
      </c>
      <c r="T190" s="15" t="str">
        <f t="shared" si="7"/>
        <v>Before</v>
      </c>
    </row>
    <row r="191" spans="1:20" ht="15">
      <c r="A191" s="15" t="s">
        <v>391</v>
      </c>
      <c r="B191" s="15" t="s">
        <v>27</v>
      </c>
      <c r="C191" s="16">
        <v>45569</v>
      </c>
      <c r="D191" s="15" t="s">
        <v>22</v>
      </c>
      <c r="E191" s="15" t="s">
        <v>23</v>
      </c>
      <c r="F191" s="15">
        <v>1963</v>
      </c>
      <c r="G191" s="15">
        <v>213</v>
      </c>
      <c r="H191" s="15">
        <v>19</v>
      </c>
      <c r="I191" s="15">
        <v>39260</v>
      </c>
      <c r="J191" s="15">
        <v>38771</v>
      </c>
      <c r="K191" s="15">
        <v>145</v>
      </c>
      <c r="L191" s="15" t="s">
        <v>585</v>
      </c>
      <c r="M191" s="15"/>
      <c r="N191" s="15" t="str">
        <f t="shared" si="6"/>
        <v>StyleWithMyntra</v>
      </c>
      <c r="O191" s="15" t="s">
        <v>19</v>
      </c>
      <c r="P191" s="17">
        <f>(Post[[#This Row],[Likes]]+Post[[#This Row],[Shares]]+Post[[#This Row],[Comments]])/Post[[#This Row],[Impressions]]</f>
        <v>5.5909322465613857E-2</v>
      </c>
      <c r="Q191" s="15">
        <f t="shared" si="8"/>
        <v>2195</v>
      </c>
      <c r="R191" s="16">
        <f>_xlfn.XLOOKUP($O191,'Campaign Data '!$A:$A,'Campaign Data '!$B:$B)</f>
        <v>45505</v>
      </c>
      <c r="S191" s="16">
        <f>_xlfn.XLOOKUP($O191,'Campaign Data '!$A:$A,'Campaign Data '!$C:$C)</f>
        <v>45535</v>
      </c>
      <c r="T191" s="15" t="str">
        <f t="shared" si="7"/>
        <v>Before</v>
      </c>
    </row>
    <row r="192" spans="1:20" ht="15">
      <c r="A192" s="15" t="s">
        <v>393</v>
      </c>
      <c r="B192" s="15" t="s">
        <v>27</v>
      </c>
      <c r="C192" s="16">
        <v>45629</v>
      </c>
      <c r="D192" s="15" t="s">
        <v>33</v>
      </c>
      <c r="E192" s="15" t="s">
        <v>34</v>
      </c>
      <c r="F192" s="15">
        <v>4285</v>
      </c>
      <c r="G192" s="15">
        <v>886</v>
      </c>
      <c r="H192" s="15">
        <v>376</v>
      </c>
      <c r="I192" s="15">
        <v>55705</v>
      </c>
      <c r="J192" s="15">
        <v>55556</v>
      </c>
      <c r="K192" s="15">
        <v>51</v>
      </c>
      <c r="L192" s="15" t="s">
        <v>584</v>
      </c>
      <c r="M192" s="15" t="s">
        <v>588</v>
      </c>
      <c r="N192" s="15" t="str">
        <f t="shared" si="6"/>
        <v>MyntraFashion,FashionDeals</v>
      </c>
      <c r="O192" s="15" t="s">
        <v>56</v>
      </c>
      <c r="P192" s="17">
        <f>(Post[[#This Row],[Likes]]+Post[[#This Row],[Shares]]+Post[[#This Row],[Comments]])/Post[[#This Row],[Impressions]]</f>
        <v>9.9578134817341346E-2</v>
      </c>
      <c r="Q192" s="15">
        <f t="shared" si="8"/>
        <v>5547</v>
      </c>
      <c r="R192" s="16">
        <f>_xlfn.XLOOKUP($O192,'Campaign Data '!$A:$A,'Campaign Data '!$B:$B)</f>
        <v>45667</v>
      </c>
      <c r="S192" s="16">
        <f>_xlfn.XLOOKUP($O192,'Campaign Data '!$A:$A,'Campaign Data '!$C:$C)</f>
        <v>45698</v>
      </c>
      <c r="T192" s="15" t="str">
        <f t="shared" si="7"/>
        <v>Before</v>
      </c>
    </row>
    <row r="193" spans="1:20" ht="15">
      <c r="A193" s="15" t="s">
        <v>394</v>
      </c>
      <c r="B193" s="15" t="s">
        <v>31</v>
      </c>
      <c r="C193" s="16">
        <v>45625</v>
      </c>
      <c r="D193" s="15" t="s">
        <v>70</v>
      </c>
      <c r="E193" s="15" t="s">
        <v>71</v>
      </c>
      <c r="F193" s="15">
        <v>1176</v>
      </c>
      <c r="G193" s="15">
        <v>464</v>
      </c>
      <c r="H193" s="15">
        <v>394</v>
      </c>
      <c r="I193" s="15">
        <v>14112</v>
      </c>
      <c r="J193" s="15">
        <v>13588</v>
      </c>
      <c r="K193" s="15">
        <v>272</v>
      </c>
      <c r="L193" s="15" t="s">
        <v>588</v>
      </c>
      <c r="M193" s="15"/>
      <c r="N193" s="15" t="str">
        <f t="shared" si="6"/>
        <v>FashionDeals</v>
      </c>
      <c r="O193" s="15" t="s">
        <v>19</v>
      </c>
      <c r="P193" s="17">
        <f>(Post[[#This Row],[Likes]]+Post[[#This Row],[Shares]]+Post[[#This Row],[Comments]])/Post[[#This Row],[Impressions]]</f>
        <v>0.1441326530612245</v>
      </c>
      <c r="Q193" s="15">
        <f t="shared" si="8"/>
        <v>2034</v>
      </c>
      <c r="R193" s="16">
        <f>_xlfn.XLOOKUP($O193,'Campaign Data '!$A:$A,'Campaign Data '!$B:$B)</f>
        <v>45505</v>
      </c>
      <c r="S193" s="16">
        <f>_xlfn.XLOOKUP($O193,'Campaign Data '!$A:$A,'Campaign Data '!$C:$C)</f>
        <v>45535</v>
      </c>
      <c r="T193" s="15" t="str">
        <f t="shared" si="7"/>
        <v>Before</v>
      </c>
    </row>
    <row r="194" spans="1:20" ht="15">
      <c r="A194" s="15" t="s">
        <v>396</v>
      </c>
      <c r="B194" s="15" t="s">
        <v>14</v>
      </c>
      <c r="C194" s="16">
        <v>45546</v>
      </c>
      <c r="D194" s="15" t="s">
        <v>50</v>
      </c>
      <c r="E194" s="15" t="s">
        <v>51</v>
      </c>
      <c r="F194" s="15">
        <v>4858</v>
      </c>
      <c r="G194" s="15">
        <v>317</v>
      </c>
      <c r="H194" s="15">
        <v>129</v>
      </c>
      <c r="I194" s="15">
        <v>53438</v>
      </c>
      <c r="J194" s="15">
        <v>52687</v>
      </c>
      <c r="K194" s="15">
        <v>223</v>
      </c>
      <c r="L194" s="15" t="s">
        <v>588</v>
      </c>
      <c r="M194" s="15" t="s">
        <v>586</v>
      </c>
      <c r="N194" s="15" t="str">
        <f t="shared" ref="N194:N257" si="9">_xlfn.TEXTJOIN(",",TRUE,L194,M194)</f>
        <v>FashionDeals,MyntraTrend</v>
      </c>
      <c r="O194" s="15" t="s">
        <v>19</v>
      </c>
      <c r="P194" s="17">
        <f>(Post[[#This Row],[Likes]]+Post[[#This Row],[Shares]]+Post[[#This Row],[Comments]])/Post[[#This Row],[Impressions]]</f>
        <v>9.9255211647142488E-2</v>
      </c>
      <c r="Q194" s="15">
        <f t="shared" si="8"/>
        <v>5304</v>
      </c>
      <c r="R194" s="16">
        <f>_xlfn.XLOOKUP($O194,'Campaign Data '!$A:$A,'Campaign Data '!$B:$B)</f>
        <v>45505</v>
      </c>
      <c r="S194" s="16">
        <f>_xlfn.XLOOKUP($O194,'Campaign Data '!$A:$A,'Campaign Data '!$C:$C)</f>
        <v>45535</v>
      </c>
      <c r="T194" s="15" t="str">
        <f t="shared" ref="T194:T257" si="10">+IF(AND($C194&gt;=$R194,$C194&lt;=$S194),"During","Before")</f>
        <v>Before</v>
      </c>
    </row>
    <row r="195" spans="1:20" ht="15">
      <c r="A195" s="15" t="s">
        <v>398</v>
      </c>
      <c r="B195" s="15" t="s">
        <v>27</v>
      </c>
      <c r="C195" s="16">
        <v>45567</v>
      </c>
      <c r="D195" s="15" t="s">
        <v>33</v>
      </c>
      <c r="E195" s="15" t="s">
        <v>34</v>
      </c>
      <c r="F195" s="15">
        <v>4350</v>
      </c>
      <c r="G195" s="15">
        <v>771</v>
      </c>
      <c r="H195" s="15">
        <v>7</v>
      </c>
      <c r="I195" s="15">
        <v>60900</v>
      </c>
      <c r="J195" s="15">
        <v>60592</v>
      </c>
      <c r="K195" s="15">
        <v>195</v>
      </c>
      <c r="L195" s="15" t="s">
        <v>588</v>
      </c>
      <c r="M195" s="15" t="s">
        <v>585</v>
      </c>
      <c r="N195" s="15" t="str">
        <f t="shared" si="9"/>
        <v>FashionDeals,StyleWithMyntra</v>
      </c>
      <c r="O195" s="15" t="s">
        <v>25</v>
      </c>
      <c r="P195" s="17">
        <f>(Post[[#This Row],[Likes]]+Post[[#This Row],[Shares]]+Post[[#This Row],[Comments]])/Post[[#This Row],[Impressions]]</f>
        <v>8.4203612479474554E-2</v>
      </c>
      <c r="Q195" s="15">
        <f t="shared" ref="Q195:Q258" si="11">F195+G195+H195</f>
        <v>5128</v>
      </c>
      <c r="R195" s="16">
        <f>_xlfn.XLOOKUP($O195,'Campaign Data '!$A:$A,'Campaign Data '!$B:$B)</f>
        <v>45453</v>
      </c>
      <c r="S195" s="16">
        <f>_xlfn.XLOOKUP($O195,'Campaign Data '!$A:$A,'Campaign Data '!$C:$C)</f>
        <v>45478</v>
      </c>
      <c r="T195" s="15" t="str">
        <f t="shared" si="10"/>
        <v>Before</v>
      </c>
    </row>
    <row r="196" spans="1:20" ht="15">
      <c r="A196" s="15" t="s">
        <v>399</v>
      </c>
      <c r="B196" s="15" t="s">
        <v>31</v>
      </c>
      <c r="C196" s="16">
        <v>45519</v>
      </c>
      <c r="D196" s="15" t="s">
        <v>43</v>
      </c>
      <c r="E196" s="15" t="s">
        <v>44</v>
      </c>
      <c r="F196" s="15">
        <v>914</v>
      </c>
      <c r="G196" s="15">
        <v>464</v>
      </c>
      <c r="H196" s="15">
        <v>246</v>
      </c>
      <c r="I196" s="15">
        <v>11882</v>
      </c>
      <c r="J196" s="15">
        <v>11500</v>
      </c>
      <c r="K196" s="15">
        <v>282</v>
      </c>
      <c r="L196" s="15" t="s">
        <v>584</v>
      </c>
      <c r="M196" s="15" t="s">
        <v>586</v>
      </c>
      <c r="N196" s="15" t="str">
        <f t="shared" si="9"/>
        <v>MyntraFashion,MyntraTrend</v>
      </c>
      <c r="O196" s="15" t="s">
        <v>39</v>
      </c>
      <c r="P196" s="17">
        <f>(Post[[#This Row],[Likes]]+Post[[#This Row],[Shares]]+Post[[#This Row],[Comments]])/Post[[#This Row],[Impressions]]</f>
        <v>0.13667732704931829</v>
      </c>
      <c r="Q196" s="15">
        <f t="shared" si="11"/>
        <v>1624</v>
      </c>
      <c r="R196" s="16">
        <f>_xlfn.XLOOKUP($O196,'Campaign Data '!$A:$A,'Campaign Data '!$B:$B)</f>
        <v>45570</v>
      </c>
      <c r="S196" s="16">
        <f>_xlfn.XLOOKUP($O196,'Campaign Data '!$A:$A,'Campaign Data '!$C:$C)</f>
        <v>45601</v>
      </c>
      <c r="T196" s="15" t="str">
        <f t="shared" si="10"/>
        <v>Before</v>
      </c>
    </row>
    <row r="197" spans="1:20" ht="15">
      <c r="A197" s="15" t="s">
        <v>401</v>
      </c>
      <c r="B197" s="15" t="s">
        <v>31</v>
      </c>
      <c r="C197" s="16">
        <v>45645</v>
      </c>
      <c r="D197" s="15" t="s">
        <v>22</v>
      </c>
      <c r="E197" s="15" t="s">
        <v>23</v>
      </c>
      <c r="F197" s="15">
        <v>1813</v>
      </c>
      <c r="G197" s="15">
        <v>623</v>
      </c>
      <c r="H197" s="15">
        <v>72</v>
      </c>
      <c r="I197" s="15">
        <v>19943</v>
      </c>
      <c r="J197" s="15">
        <v>18959</v>
      </c>
      <c r="K197" s="15">
        <v>85</v>
      </c>
      <c r="L197" s="15" t="s">
        <v>586</v>
      </c>
      <c r="M197" s="15" t="s">
        <v>584</v>
      </c>
      <c r="N197" s="15" t="str">
        <f t="shared" si="9"/>
        <v>MyntraTrend,MyntraFashion</v>
      </c>
      <c r="O197" s="15" t="s">
        <v>39</v>
      </c>
      <c r="P197" s="17">
        <f>(Post[[#This Row],[Likes]]+Post[[#This Row],[Shares]]+Post[[#This Row],[Comments]])/Post[[#This Row],[Impressions]]</f>
        <v>0.12575841147269717</v>
      </c>
      <c r="Q197" s="15">
        <f t="shared" si="11"/>
        <v>2508</v>
      </c>
      <c r="R197" s="16">
        <f>_xlfn.XLOOKUP($O197,'Campaign Data '!$A:$A,'Campaign Data '!$B:$B)</f>
        <v>45570</v>
      </c>
      <c r="S197" s="16">
        <f>_xlfn.XLOOKUP($O197,'Campaign Data '!$A:$A,'Campaign Data '!$C:$C)</f>
        <v>45601</v>
      </c>
      <c r="T197" s="15" t="str">
        <f t="shared" si="10"/>
        <v>Before</v>
      </c>
    </row>
    <row r="198" spans="1:20" ht="15">
      <c r="A198" s="15" t="s">
        <v>403</v>
      </c>
      <c r="B198" s="15" t="s">
        <v>14</v>
      </c>
      <c r="C198" s="16">
        <v>45587</v>
      </c>
      <c r="D198" s="15" t="s">
        <v>16</v>
      </c>
      <c r="E198" s="15" t="s">
        <v>17</v>
      </c>
      <c r="F198" s="15">
        <v>4782</v>
      </c>
      <c r="G198" s="15">
        <v>721</v>
      </c>
      <c r="H198" s="15">
        <v>82</v>
      </c>
      <c r="I198" s="15">
        <v>86076</v>
      </c>
      <c r="J198" s="15">
        <v>85339</v>
      </c>
      <c r="K198" s="15">
        <v>19</v>
      </c>
      <c r="L198" s="15" t="s">
        <v>588</v>
      </c>
      <c r="M198" s="15"/>
      <c r="N198" s="15" t="str">
        <f t="shared" si="9"/>
        <v>FashionDeals</v>
      </c>
      <c r="O198" s="15" t="s">
        <v>25</v>
      </c>
      <c r="P198" s="17">
        <f>(Post[[#This Row],[Likes]]+Post[[#This Row],[Shares]]+Post[[#This Row],[Comments]])/Post[[#This Row],[Impressions]]</f>
        <v>6.4884520656164318E-2</v>
      </c>
      <c r="Q198" s="15">
        <f t="shared" si="11"/>
        <v>5585</v>
      </c>
      <c r="R198" s="16">
        <f>_xlfn.XLOOKUP($O198,'Campaign Data '!$A:$A,'Campaign Data '!$B:$B)</f>
        <v>45453</v>
      </c>
      <c r="S198" s="16">
        <f>_xlfn.XLOOKUP($O198,'Campaign Data '!$A:$A,'Campaign Data '!$C:$C)</f>
        <v>45478</v>
      </c>
      <c r="T198" s="15" t="str">
        <f t="shared" si="10"/>
        <v>Before</v>
      </c>
    </row>
    <row r="199" spans="1:20" ht="15">
      <c r="A199" s="15" t="s">
        <v>404</v>
      </c>
      <c r="B199" s="15" t="s">
        <v>14</v>
      </c>
      <c r="C199" s="16">
        <v>45549</v>
      </c>
      <c r="D199" s="15" t="s">
        <v>50</v>
      </c>
      <c r="E199" s="15" t="s">
        <v>51</v>
      </c>
      <c r="F199" s="15">
        <v>1048</v>
      </c>
      <c r="G199" s="15">
        <v>374</v>
      </c>
      <c r="H199" s="15">
        <v>450</v>
      </c>
      <c r="I199" s="15">
        <v>9432</v>
      </c>
      <c r="J199" s="15">
        <v>8882</v>
      </c>
      <c r="K199" s="15">
        <v>158</v>
      </c>
      <c r="L199" s="15" t="s">
        <v>586</v>
      </c>
      <c r="M199" s="15" t="s">
        <v>583</v>
      </c>
      <c r="N199" s="15" t="str">
        <f t="shared" si="9"/>
        <v>MyntraTrend,MyntraSale</v>
      </c>
      <c r="O199" s="15" t="s">
        <v>25</v>
      </c>
      <c r="P199" s="17">
        <f>(Post[[#This Row],[Likes]]+Post[[#This Row],[Shares]]+Post[[#This Row],[Comments]])/Post[[#This Row],[Impressions]]</f>
        <v>0.19847328244274809</v>
      </c>
      <c r="Q199" s="15">
        <f t="shared" si="11"/>
        <v>1872</v>
      </c>
      <c r="R199" s="16">
        <f>_xlfn.XLOOKUP($O199,'Campaign Data '!$A:$A,'Campaign Data '!$B:$B)</f>
        <v>45453</v>
      </c>
      <c r="S199" s="16">
        <f>_xlfn.XLOOKUP($O199,'Campaign Data '!$A:$A,'Campaign Data '!$C:$C)</f>
        <v>45478</v>
      </c>
      <c r="T199" s="15" t="str">
        <f t="shared" si="10"/>
        <v>Before</v>
      </c>
    </row>
    <row r="200" spans="1:20" ht="15">
      <c r="A200" s="15" t="s">
        <v>406</v>
      </c>
      <c r="B200" s="15" t="s">
        <v>27</v>
      </c>
      <c r="C200" s="16">
        <v>45626</v>
      </c>
      <c r="D200" s="15" t="s">
        <v>43</v>
      </c>
      <c r="E200" s="15" t="s">
        <v>44</v>
      </c>
      <c r="F200" s="15">
        <v>2509</v>
      </c>
      <c r="G200" s="15">
        <v>324</v>
      </c>
      <c r="H200" s="15">
        <v>171</v>
      </c>
      <c r="I200" s="15">
        <v>35126</v>
      </c>
      <c r="J200" s="15">
        <v>34685</v>
      </c>
      <c r="K200" s="15">
        <v>277</v>
      </c>
      <c r="L200" s="15" t="s">
        <v>588</v>
      </c>
      <c r="M200" s="15"/>
      <c r="N200" s="15" t="str">
        <f t="shared" si="9"/>
        <v>FashionDeals</v>
      </c>
      <c r="O200" s="15" t="s">
        <v>25</v>
      </c>
      <c r="P200" s="17">
        <f>(Post[[#This Row],[Likes]]+Post[[#This Row],[Shares]]+Post[[#This Row],[Comments]])/Post[[#This Row],[Impressions]]</f>
        <v>8.5520696919660646E-2</v>
      </c>
      <c r="Q200" s="15">
        <f t="shared" si="11"/>
        <v>3004</v>
      </c>
      <c r="R200" s="16">
        <f>_xlfn.XLOOKUP($O200,'Campaign Data '!$A:$A,'Campaign Data '!$B:$B)</f>
        <v>45453</v>
      </c>
      <c r="S200" s="16">
        <f>_xlfn.XLOOKUP($O200,'Campaign Data '!$A:$A,'Campaign Data '!$C:$C)</f>
        <v>45478</v>
      </c>
      <c r="T200" s="15" t="str">
        <f t="shared" si="10"/>
        <v>Before</v>
      </c>
    </row>
    <row r="201" spans="1:20" ht="15">
      <c r="A201" s="15" t="s">
        <v>407</v>
      </c>
      <c r="B201" s="15" t="s">
        <v>41</v>
      </c>
      <c r="C201" s="16">
        <v>45754</v>
      </c>
      <c r="D201" s="15" t="s">
        <v>16</v>
      </c>
      <c r="E201" s="15" t="s">
        <v>17</v>
      </c>
      <c r="F201" s="15">
        <v>3718</v>
      </c>
      <c r="G201" s="15">
        <v>385</v>
      </c>
      <c r="H201" s="15">
        <v>310</v>
      </c>
      <c r="I201" s="15">
        <v>70642</v>
      </c>
      <c r="J201" s="15">
        <v>69749</v>
      </c>
      <c r="K201" s="15">
        <v>233</v>
      </c>
      <c r="L201" s="15" t="s">
        <v>586</v>
      </c>
      <c r="M201" s="15"/>
      <c r="N201" s="15" t="str">
        <f t="shared" si="9"/>
        <v>MyntraTrend</v>
      </c>
      <c r="O201" s="15" t="s">
        <v>19</v>
      </c>
      <c r="P201" s="17">
        <f>(Post[[#This Row],[Likes]]+Post[[#This Row],[Shares]]+Post[[#This Row],[Comments]])/Post[[#This Row],[Impressions]]</f>
        <v>6.246991874522239E-2</v>
      </c>
      <c r="Q201" s="15">
        <f t="shared" si="11"/>
        <v>4413</v>
      </c>
      <c r="R201" s="16">
        <f>_xlfn.XLOOKUP($O201,'Campaign Data '!$A:$A,'Campaign Data '!$B:$B)</f>
        <v>45505</v>
      </c>
      <c r="S201" s="16">
        <f>_xlfn.XLOOKUP($O201,'Campaign Data '!$A:$A,'Campaign Data '!$C:$C)</f>
        <v>45535</v>
      </c>
      <c r="T201" s="15" t="str">
        <f t="shared" si="10"/>
        <v>Before</v>
      </c>
    </row>
    <row r="202" spans="1:20" ht="15">
      <c r="A202" s="15" t="s">
        <v>409</v>
      </c>
      <c r="B202" s="15" t="s">
        <v>14</v>
      </c>
      <c r="C202" s="16">
        <v>45672</v>
      </c>
      <c r="D202" s="15" t="s">
        <v>16</v>
      </c>
      <c r="E202" s="15" t="s">
        <v>17</v>
      </c>
      <c r="F202" s="15">
        <v>802</v>
      </c>
      <c r="G202" s="15">
        <v>262</v>
      </c>
      <c r="H202" s="15">
        <v>244</v>
      </c>
      <c r="I202" s="15">
        <v>14436</v>
      </c>
      <c r="J202" s="15">
        <v>14280</v>
      </c>
      <c r="K202" s="15">
        <v>49</v>
      </c>
      <c r="L202" s="15" t="s">
        <v>583</v>
      </c>
      <c r="M202" s="15" t="s">
        <v>588</v>
      </c>
      <c r="N202" s="15" t="str">
        <f t="shared" si="9"/>
        <v>MyntraSale,FashionDeals</v>
      </c>
      <c r="O202" s="15" t="s">
        <v>56</v>
      </c>
      <c r="P202" s="17">
        <f>(Post[[#This Row],[Likes]]+Post[[#This Row],[Shares]]+Post[[#This Row],[Comments]])/Post[[#This Row],[Impressions]]</f>
        <v>9.0606816292601824E-2</v>
      </c>
      <c r="Q202" s="15">
        <f t="shared" si="11"/>
        <v>1308</v>
      </c>
      <c r="R202" s="16">
        <f>_xlfn.XLOOKUP($O202,'Campaign Data '!$A:$A,'Campaign Data '!$B:$B)</f>
        <v>45667</v>
      </c>
      <c r="S202" s="16">
        <f>_xlfn.XLOOKUP($O202,'Campaign Data '!$A:$A,'Campaign Data '!$C:$C)</f>
        <v>45698</v>
      </c>
      <c r="T202" s="15" t="str">
        <f t="shared" si="10"/>
        <v>During</v>
      </c>
    </row>
    <row r="203" spans="1:20" ht="15">
      <c r="A203" s="15" t="s">
        <v>411</v>
      </c>
      <c r="B203" s="15" t="s">
        <v>41</v>
      </c>
      <c r="C203" s="16">
        <v>45445</v>
      </c>
      <c r="D203" s="15" t="s">
        <v>50</v>
      </c>
      <c r="E203" s="15" t="s">
        <v>51</v>
      </c>
      <c r="F203" s="15">
        <v>1871</v>
      </c>
      <c r="G203" s="15">
        <v>252</v>
      </c>
      <c r="H203" s="15">
        <v>335</v>
      </c>
      <c r="I203" s="15">
        <v>29936</v>
      </c>
      <c r="J203" s="15">
        <v>29576</v>
      </c>
      <c r="K203" s="15">
        <v>288</v>
      </c>
      <c r="L203" s="15" t="s">
        <v>586</v>
      </c>
      <c r="M203" s="15"/>
      <c r="N203" s="15" t="str">
        <f t="shared" si="9"/>
        <v>MyntraTrend</v>
      </c>
      <c r="O203" s="15" t="s">
        <v>25</v>
      </c>
      <c r="P203" s="17">
        <f>(Post[[#This Row],[Likes]]+Post[[#This Row],[Shares]]+Post[[#This Row],[Comments]])/Post[[#This Row],[Impressions]]</f>
        <v>8.2108498129342594E-2</v>
      </c>
      <c r="Q203" s="15">
        <f t="shared" si="11"/>
        <v>2458</v>
      </c>
      <c r="R203" s="16">
        <f>_xlfn.XLOOKUP($O203,'Campaign Data '!$A:$A,'Campaign Data '!$B:$B)</f>
        <v>45453</v>
      </c>
      <c r="S203" s="16">
        <f>_xlfn.XLOOKUP($O203,'Campaign Data '!$A:$A,'Campaign Data '!$C:$C)</f>
        <v>45478</v>
      </c>
      <c r="T203" s="15" t="str">
        <f t="shared" si="10"/>
        <v>Before</v>
      </c>
    </row>
    <row r="204" spans="1:20" ht="15">
      <c r="A204" s="15" t="s">
        <v>413</v>
      </c>
      <c r="B204" s="15" t="s">
        <v>31</v>
      </c>
      <c r="C204" s="16">
        <v>45617</v>
      </c>
      <c r="D204" s="15" t="s">
        <v>43</v>
      </c>
      <c r="E204" s="15" t="s">
        <v>44</v>
      </c>
      <c r="F204" s="15">
        <v>3773</v>
      </c>
      <c r="G204" s="15">
        <v>299</v>
      </c>
      <c r="H204" s="15">
        <v>38</v>
      </c>
      <c r="I204" s="15">
        <v>71687</v>
      </c>
      <c r="J204" s="15">
        <v>71447</v>
      </c>
      <c r="K204" s="15">
        <v>286</v>
      </c>
      <c r="L204" s="15" t="s">
        <v>586</v>
      </c>
      <c r="M204" s="15"/>
      <c r="N204" s="15" t="str">
        <f t="shared" si="9"/>
        <v>MyntraTrend</v>
      </c>
      <c r="O204" s="15" t="s">
        <v>56</v>
      </c>
      <c r="P204" s="17">
        <f>(Post[[#This Row],[Likes]]+Post[[#This Row],[Shares]]+Post[[#This Row],[Comments]])/Post[[#This Row],[Impressions]]</f>
        <v>5.7332570758993957E-2</v>
      </c>
      <c r="Q204" s="15">
        <f t="shared" si="11"/>
        <v>4110</v>
      </c>
      <c r="R204" s="16">
        <f>_xlfn.XLOOKUP($O204,'Campaign Data '!$A:$A,'Campaign Data '!$B:$B)</f>
        <v>45667</v>
      </c>
      <c r="S204" s="16">
        <f>_xlfn.XLOOKUP($O204,'Campaign Data '!$A:$A,'Campaign Data '!$C:$C)</f>
        <v>45698</v>
      </c>
      <c r="T204" s="15" t="str">
        <f t="shared" si="10"/>
        <v>Before</v>
      </c>
    </row>
    <row r="205" spans="1:20" ht="15">
      <c r="A205" s="15" t="s">
        <v>415</v>
      </c>
      <c r="B205" s="15" t="s">
        <v>31</v>
      </c>
      <c r="C205" s="16">
        <v>45658</v>
      </c>
      <c r="D205" s="15" t="s">
        <v>43</v>
      </c>
      <c r="E205" s="15" t="s">
        <v>44</v>
      </c>
      <c r="F205" s="15">
        <v>2234</v>
      </c>
      <c r="G205" s="15">
        <v>653</v>
      </c>
      <c r="H205" s="15">
        <v>432</v>
      </c>
      <c r="I205" s="15">
        <v>11170</v>
      </c>
      <c r="J205" s="15">
        <v>10569</v>
      </c>
      <c r="K205" s="15">
        <v>198</v>
      </c>
      <c r="L205" s="15" t="s">
        <v>588</v>
      </c>
      <c r="M205" s="15" t="s">
        <v>585</v>
      </c>
      <c r="N205" s="15" t="str">
        <f t="shared" si="9"/>
        <v>FashionDeals,StyleWithMyntra</v>
      </c>
      <c r="O205" s="15" t="s">
        <v>56</v>
      </c>
      <c r="P205" s="17">
        <f>(Post[[#This Row],[Likes]]+Post[[#This Row],[Shares]]+Post[[#This Row],[Comments]])/Post[[#This Row],[Impressions]]</f>
        <v>0.29713518352730528</v>
      </c>
      <c r="Q205" s="15">
        <f t="shared" si="11"/>
        <v>3319</v>
      </c>
      <c r="R205" s="16">
        <f>_xlfn.XLOOKUP($O205,'Campaign Data '!$A:$A,'Campaign Data '!$B:$B)</f>
        <v>45667</v>
      </c>
      <c r="S205" s="16">
        <f>_xlfn.XLOOKUP($O205,'Campaign Data '!$A:$A,'Campaign Data '!$C:$C)</f>
        <v>45698</v>
      </c>
      <c r="T205" s="15" t="str">
        <f t="shared" si="10"/>
        <v>Before</v>
      </c>
    </row>
    <row r="206" spans="1:20" ht="15">
      <c r="A206" s="15" t="s">
        <v>416</v>
      </c>
      <c r="B206" s="15" t="s">
        <v>14</v>
      </c>
      <c r="C206" s="16">
        <v>45771</v>
      </c>
      <c r="D206" s="15" t="s">
        <v>70</v>
      </c>
      <c r="E206" s="15" t="s">
        <v>71</v>
      </c>
      <c r="F206" s="15">
        <v>3820</v>
      </c>
      <c r="G206" s="15">
        <v>697</v>
      </c>
      <c r="H206" s="15">
        <v>268</v>
      </c>
      <c r="I206" s="15">
        <v>45840</v>
      </c>
      <c r="J206" s="15">
        <v>45631</v>
      </c>
      <c r="K206" s="15">
        <v>171</v>
      </c>
      <c r="L206" s="15" t="s">
        <v>585</v>
      </c>
      <c r="M206" s="15" t="s">
        <v>588</v>
      </c>
      <c r="N206" s="15" t="str">
        <f t="shared" si="9"/>
        <v>StyleWithMyntra,FashionDeals</v>
      </c>
      <c r="O206" s="15" t="s">
        <v>19</v>
      </c>
      <c r="P206" s="17">
        <f>(Post[[#This Row],[Likes]]+Post[[#This Row],[Shares]]+Post[[#This Row],[Comments]])/Post[[#This Row],[Impressions]]</f>
        <v>0.1043848167539267</v>
      </c>
      <c r="Q206" s="15">
        <f t="shared" si="11"/>
        <v>4785</v>
      </c>
      <c r="R206" s="16">
        <f>_xlfn.XLOOKUP($O206,'Campaign Data '!$A:$A,'Campaign Data '!$B:$B)</f>
        <v>45505</v>
      </c>
      <c r="S206" s="16">
        <f>_xlfn.XLOOKUP($O206,'Campaign Data '!$A:$A,'Campaign Data '!$C:$C)</f>
        <v>45535</v>
      </c>
      <c r="T206" s="15" t="str">
        <f t="shared" si="10"/>
        <v>Before</v>
      </c>
    </row>
    <row r="207" spans="1:20" ht="15">
      <c r="A207" s="15" t="s">
        <v>417</v>
      </c>
      <c r="B207" s="15" t="s">
        <v>14</v>
      </c>
      <c r="C207" s="16">
        <v>45467</v>
      </c>
      <c r="D207" s="15" t="s">
        <v>22</v>
      </c>
      <c r="E207" s="15" t="s">
        <v>23</v>
      </c>
      <c r="F207" s="15">
        <v>941</v>
      </c>
      <c r="G207" s="15">
        <v>121</v>
      </c>
      <c r="H207" s="15">
        <v>458</v>
      </c>
      <c r="I207" s="15">
        <v>14115</v>
      </c>
      <c r="J207" s="15">
        <v>13838</v>
      </c>
      <c r="K207" s="15">
        <v>87</v>
      </c>
      <c r="L207" s="15" t="s">
        <v>584</v>
      </c>
      <c r="M207" s="15" t="s">
        <v>583</v>
      </c>
      <c r="N207" s="15" t="str">
        <f t="shared" si="9"/>
        <v>MyntraFashion,MyntraSale</v>
      </c>
      <c r="O207" s="15" t="s">
        <v>25</v>
      </c>
      <c r="P207" s="17">
        <f>(Post[[#This Row],[Likes]]+Post[[#This Row],[Shares]]+Post[[#This Row],[Comments]])/Post[[#This Row],[Impressions]]</f>
        <v>0.10768685795253277</v>
      </c>
      <c r="Q207" s="15">
        <f t="shared" si="11"/>
        <v>1520</v>
      </c>
      <c r="R207" s="16">
        <f>_xlfn.XLOOKUP($O207,'Campaign Data '!$A:$A,'Campaign Data '!$B:$B)</f>
        <v>45453</v>
      </c>
      <c r="S207" s="16">
        <f>_xlfn.XLOOKUP($O207,'Campaign Data '!$A:$A,'Campaign Data '!$C:$C)</f>
        <v>45478</v>
      </c>
      <c r="T207" s="15" t="str">
        <f t="shared" si="10"/>
        <v>During</v>
      </c>
    </row>
    <row r="208" spans="1:20" ht="15">
      <c r="A208" s="15" t="s">
        <v>418</v>
      </c>
      <c r="B208" s="15" t="s">
        <v>14</v>
      </c>
      <c r="C208" s="16">
        <v>45655</v>
      </c>
      <c r="D208" s="15" t="s">
        <v>43</v>
      </c>
      <c r="E208" s="15" t="s">
        <v>44</v>
      </c>
      <c r="F208" s="15">
        <v>4274</v>
      </c>
      <c r="G208" s="15">
        <v>340</v>
      </c>
      <c r="H208" s="15">
        <v>281</v>
      </c>
      <c r="I208" s="15">
        <v>34192</v>
      </c>
      <c r="J208" s="15">
        <v>33446</v>
      </c>
      <c r="K208" s="15">
        <v>129</v>
      </c>
      <c r="L208" s="15" t="s">
        <v>585</v>
      </c>
      <c r="M208" s="15" t="s">
        <v>588</v>
      </c>
      <c r="N208" s="15" t="str">
        <f t="shared" si="9"/>
        <v>StyleWithMyntra,FashionDeals</v>
      </c>
      <c r="O208" s="15" t="s">
        <v>39</v>
      </c>
      <c r="P208" s="17">
        <f>(Post[[#This Row],[Likes]]+Post[[#This Row],[Shares]]+Post[[#This Row],[Comments]])/Post[[#This Row],[Impressions]]</f>
        <v>0.14316214319138981</v>
      </c>
      <c r="Q208" s="15">
        <f t="shared" si="11"/>
        <v>4895</v>
      </c>
      <c r="R208" s="16">
        <f>_xlfn.XLOOKUP($O208,'Campaign Data '!$A:$A,'Campaign Data '!$B:$B)</f>
        <v>45570</v>
      </c>
      <c r="S208" s="16">
        <f>_xlfn.XLOOKUP($O208,'Campaign Data '!$A:$A,'Campaign Data '!$C:$C)</f>
        <v>45601</v>
      </c>
      <c r="T208" s="15" t="str">
        <f t="shared" si="10"/>
        <v>Before</v>
      </c>
    </row>
    <row r="209" spans="1:20" ht="15">
      <c r="A209" s="15" t="s">
        <v>420</v>
      </c>
      <c r="B209" s="15" t="s">
        <v>27</v>
      </c>
      <c r="C209" s="16">
        <v>45467</v>
      </c>
      <c r="D209" s="15" t="s">
        <v>70</v>
      </c>
      <c r="E209" s="15" t="s">
        <v>71</v>
      </c>
      <c r="F209" s="15">
        <v>2949</v>
      </c>
      <c r="G209" s="15">
        <v>476</v>
      </c>
      <c r="H209" s="15">
        <v>403</v>
      </c>
      <c r="I209" s="15">
        <v>44235</v>
      </c>
      <c r="J209" s="15">
        <v>43705</v>
      </c>
      <c r="K209" s="15">
        <v>135</v>
      </c>
      <c r="L209" s="15" t="s">
        <v>586</v>
      </c>
      <c r="M209" s="15" t="s">
        <v>588</v>
      </c>
      <c r="N209" s="15" t="str">
        <f t="shared" si="9"/>
        <v>MyntraTrend,FashionDeals</v>
      </c>
      <c r="O209" s="15" t="s">
        <v>19</v>
      </c>
      <c r="P209" s="17">
        <f>(Post[[#This Row],[Likes]]+Post[[#This Row],[Shares]]+Post[[#This Row],[Comments]])/Post[[#This Row],[Impressions]]</f>
        <v>8.6537809426924378E-2</v>
      </c>
      <c r="Q209" s="15">
        <f t="shared" si="11"/>
        <v>3828</v>
      </c>
      <c r="R209" s="16">
        <f>_xlfn.XLOOKUP($O209,'Campaign Data '!$A:$A,'Campaign Data '!$B:$B)</f>
        <v>45505</v>
      </c>
      <c r="S209" s="16">
        <f>_xlfn.XLOOKUP($O209,'Campaign Data '!$A:$A,'Campaign Data '!$C:$C)</f>
        <v>45535</v>
      </c>
      <c r="T209" s="15" t="str">
        <f t="shared" si="10"/>
        <v>Before</v>
      </c>
    </row>
    <row r="210" spans="1:20" ht="15">
      <c r="A210" s="15" t="s">
        <v>421</v>
      </c>
      <c r="B210" s="15" t="s">
        <v>14</v>
      </c>
      <c r="C210" s="16">
        <v>45735</v>
      </c>
      <c r="D210" s="15" t="s">
        <v>70</v>
      </c>
      <c r="E210" s="15" t="s">
        <v>71</v>
      </c>
      <c r="F210" s="15">
        <v>3160</v>
      </c>
      <c r="G210" s="15">
        <v>204</v>
      </c>
      <c r="H210" s="15">
        <v>297</v>
      </c>
      <c r="I210" s="15">
        <v>44240</v>
      </c>
      <c r="J210" s="15">
        <v>43666</v>
      </c>
      <c r="K210" s="15">
        <v>49</v>
      </c>
      <c r="L210" s="15" t="s">
        <v>585</v>
      </c>
      <c r="M210" s="15" t="s">
        <v>586</v>
      </c>
      <c r="N210" s="15" t="str">
        <f t="shared" si="9"/>
        <v>StyleWithMyntra,MyntraTrend</v>
      </c>
      <c r="O210" s="15" t="s">
        <v>19</v>
      </c>
      <c r="P210" s="17">
        <f>(Post[[#This Row],[Likes]]+Post[[#This Row],[Shares]]+Post[[#This Row],[Comments]])/Post[[#This Row],[Impressions]]</f>
        <v>8.2753164556962022E-2</v>
      </c>
      <c r="Q210" s="15">
        <f t="shared" si="11"/>
        <v>3661</v>
      </c>
      <c r="R210" s="16">
        <f>_xlfn.XLOOKUP($O210,'Campaign Data '!$A:$A,'Campaign Data '!$B:$B)</f>
        <v>45505</v>
      </c>
      <c r="S210" s="16">
        <f>_xlfn.XLOOKUP($O210,'Campaign Data '!$A:$A,'Campaign Data '!$C:$C)</f>
        <v>45535</v>
      </c>
      <c r="T210" s="15" t="str">
        <f t="shared" si="10"/>
        <v>Before</v>
      </c>
    </row>
    <row r="211" spans="1:20" ht="15">
      <c r="A211" s="15" t="s">
        <v>423</v>
      </c>
      <c r="B211" s="15" t="s">
        <v>27</v>
      </c>
      <c r="C211" s="16">
        <v>45707</v>
      </c>
      <c r="D211" s="15" t="s">
        <v>50</v>
      </c>
      <c r="E211" s="15" t="s">
        <v>51</v>
      </c>
      <c r="F211" s="15">
        <v>257</v>
      </c>
      <c r="G211" s="15">
        <v>966</v>
      </c>
      <c r="H211" s="15">
        <v>398</v>
      </c>
      <c r="I211" s="15">
        <v>3341</v>
      </c>
      <c r="J211" s="15">
        <v>2753</v>
      </c>
      <c r="K211" s="15">
        <v>287</v>
      </c>
      <c r="L211" s="15" t="s">
        <v>586</v>
      </c>
      <c r="M211" s="15" t="s">
        <v>583</v>
      </c>
      <c r="N211" s="15" t="str">
        <f t="shared" si="9"/>
        <v>MyntraTrend,MyntraSale</v>
      </c>
      <c r="O211" s="15" t="s">
        <v>19</v>
      </c>
      <c r="P211" s="17">
        <f>(Post[[#This Row],[Likes]]+Post[[#This Row],[Shares]]+Post[[#This Row],[Comments]])/Post[[#This Row],[Impressions]]</f>
        <v>0.48518407662376534</v>
      </c>
      <c r="Q211" s="15">
        <f t="shared" si="11"/>
        <v>1621</v>
      </c>
      <c r="R211" s="16">
        <f>_xlfn.XLOOKUP($O211,'Campaign Data '!$A:$A,'Campaign Data '!$B:$B)</f>
        <v>45505</v>
      </c>
      <c r="S211" s="16">
        <f>_xlfn.XLOOKUP($O211,'Campaign Data '!$A:$A,'Campaign Data '!$C:$C)</f>
        <v>45535</v>
      </c>
      <c r="T211" s="15" t="str">
        <f t="shared" si="10"/>
        <v>Before</v>
      </c>
    </row>
    <row r="212" spans="1:20" ht="15">
      <c r="A212" s="15" t="s">
        <v>424</v>
      </c>
      <c r="B212" s="15" t="s">
        <v>14</v>
      </c>
      <c r="C212" s="16">
        <v>45491</v>
      </c>
      <c r="D212" s="15" t="s">
        <v>43</v>
      </c>
      <c r="E212" s="15" t="s">
        <v>44</v>
      </c>
      <c r="F212" s="15">
        <v>2120</v>
      </c>
      <c r="G212" s="15">
        <v>38</v>
      </c>
      <c r="H212" s="15">
        <v>212</v>
      </c>
      <c r="I212" s="15">
        <v>12720</v>
      </c>
      <c r="J212" s="15">
        <v>12564</v>
      </c>
      <c r="K212" s="15">
        <v>21</v>
      </c>
      <c r="L212" s="15" t="s">
        <v>586</v>
      </c>
      <c r="M212" s="15" t="s">
        <v>583</v>
      </c>
      <c r="N212" s="15" t="str">
        <f t="shared" si="9"/>
        <v>MyntraTrend,MyntraSale</v>
      </c>
      <c r="O212" s="15" t="s">
        <v>19</v>
      </c>
      <c r="P212" s="17">
        <f>(Post[[#This Row],[Likes]]+Post[[#This Row],[Shares]]+Post[[#This Row],[Comments]])/Post[[#This Row],[Impressions]]</f>
        <v>0.18632075471698112</v>
      </c>
      <c r="Q212" s="15">
        <f t="shared" si="11"/>
        <v>2370</v>
      </c>
      <c r="R212" s="16">
        <f>_xlfn.XLOOKUP($O212,'Campaign Data '!$A:$A,'Campaign Data '!$B:$B)</f>
        <v>45505</v>
      </c>
      <c r="S212" s="16">
        <f>_xlfn.XLOOKUP($O212,'Campaign Data '!$A:$A,'Campaign Data '!$C:$C)</f>
        <v>45535</v>
      </c>
      <c r="T212" s="15" t="str">
        <f t="shared" si="10"/>
        <v>Before</v>
      </c>
    </row>
    <row r="213" spans="1:20" ht="15">
      <c r="A213" s="15" t="s">
        <v>426</v>
      </c>
      <c r="B213" s="15" t="s">
        <v>27</v>
      </c>
      <c r="C213" s="16">
        <v>45719</v>
      </c>
      <c r="D213" s="15" t="s">
        <v>70</v>
      </c>
      <c r="E213" s="15" t="s">
        <v>71</v>
      </c>
      <c r="F213" s="15">
        <v>3874</v>
      </c>
      <c r="G213" s="15">
        <v>884</v>
      </c>
      <c r="H213" s="15">
        <v>19</v>
      </c>
      <c r="I213" s="15">
        <v>38740</v>
      </c>
      <c r="J213" s="15">
        <v>38552</v>
      </c>
      <c r="K213" s="15">
        <v>219</v>
      </c>
      <c r="L213" s="15" t="s">
        <v>585</v>
      </c>
      <c r="M213" s="15"/>
      <c r="N213" s="15" t="str">
        <f t="shared" si="9"/>
        <v>StyleWithMyntra</v>
      </c>
      <c r="O213" s="15" t="s">
        <v>56</v>
      </c>
      <c r="P213" s="17">
        <f>(Post[[#This Row],[Likes]]+Post[[#This Row],[Shares]]+Post[[#This Row],[Comments]])/Post[[#This Row],[Impressions]]</f>
        <v>0.123309241094476</v>
      </c>
      <c r="Q213" s="15">
        <f t="shared" si="11"/>
        <v>4777</v>
      </c>
      <c r="R213" s="16">
        <f>_xlfn.XLOOKUP($O213,'Campaign Data '!$A:$A,'Campaign Data '!$B:$B)</f>
        <v>45667</v>
      </c>
      <c r="S213" s="16">
        <f>_xlfn.XLOOKUP($O213,'Campaign Data '!$A:$A,'Campaign Data '!$C:$C)</f>
        <v>45698</v>
      </c>
      <c r="T213" s="15" t="str">
        <f t="shared" si="10"/>
        <v>Before</v>
      </c>
    </row>
    <row r="214" spans="1:20" ht="15">
      <c r="A214" s="15" t="s">
        <v>427</v>
      </c>
      <c r="B214" s="15" t="s">
        <v>41</v>
      </c>
      <c r="C214" s="16">
        <v>45778</v>
      </c>
      <c r="D214" s="15" t="s">
        <v>43</v>
      </c>
      <c r="E214" s="15" t="s">
        <v>44</v>
      </c>
      <c r="F214" s="15">
        <v>2696</v>
      </c>
      <c r="G214" s="15">
        <v>628</v>
      </c>
      <c r="H214" s="15">
        <v>443</v>
      </c>
      <c r="I214" s="15">
        <v>45832</v>
      </c>
      <c r="J214" s="15">
        <v>45632</v>
      </c>
      <c r="K214" s="15">
        <v>248</v>
      </c>
      <c r="L214" s="15" t="s">
        <v>583</v>
      </c>
      <c r="M214" s="15"/>
      <c r="N214" s="15" t="str">
        <f t="shared" si="9"/>
        <v>MyntraSale</v>
      </c>
      <c r="O214" s="15" t="s">
        <v>39</v>
      </c>
      <c r="P214" s="17">
        <f>(Post[[#This Row],[Likes]]+Post[[#This Row],[Shares]]+Post[[#This Row],[Comments]])/Post[[#This Row],[Impressions]]</f>
        <v>8.21914819340199E-2</v>
      </c>
      <c r="Q214" s="15">
        <f t="shared" si="11"/>
        <v>3767</v>
      </c>
      <c r="R214" s="16">
        <f>_xlfn.XLOOKUP($O214,'Campaign Data '!$A:$A,'Campaign Data '!$B:$B)</f>
        <v>45570</v>
      </c>
      <c r="S214" s="16">
        <f>_xlfn.XLOOKUP($O214,'Campaign Data '!$A:$A,'Campaign Data '!$C:$C)</f>
        <v>45601</v>
      </c>
      <c r="T214" s="15" t="str">
        <f t="shared" si="10"/>
        <v>Before</v>
      </c>
    </row>
    <row r="215" spans="1:20" ht="15">
      <c r="A215" s="15" t="s">
        <v>429</v>
      </c>
      <c r="B215" s="15" t="s">
        <v>31</v>
      </c>
      <c r="C215" s="16">
        <v>45649</v>
      </c>
      <c r="D215" s="15" t="s">
        <v>50</v>
      </c>
      <c r="E215" s="15" t="s">
        <v>51</v>
      </c>
      <c r="F215" s="15">
        <v>521</v>
      </c>
      <c r="G215" s="15">
        <v>746</v>
      </c>
      <c r="H215" s="15">
        <v>315</v>
      </c>
      <c r="I215" s="15">
        <v>4168</v>
      </c>
      <c r="J215" s="15">
        <v>3399</v>
      </c>
      <c r="K215" s="15">
        <v>282</v>
      </c>
      <c r="L215" s="15" t="s">
        <v>583</v>
      </c>
      <c r="M215" s="15"/>
      <c r="N215" s="15" t="str">
        <f t="shared" si="9"/>
        <v>MyntraSale</v>
      </c>
      <c r="O215" s="15" t="s">
        <v>19</v>
      </c>
      <c r="P215" s="17">
        <f>(Post[[#This Row],[Likes]]+Post[[#This Row],[Shares]]+Post[[#This Row],[Comments]])/Post[[#This Row],[Impressions]]</f>
        <v>0.37955854126679461</v>
      </c>
      <c r="Q215" s="15">
        <f t="shared" si="11"/>
        <v>1582</v>
      </c>
      <c r="R215" s="16">
        <f>_xlfn.XLOOKUP($O215,'Campaign Data '!$A:$A,'Campaign Data '!$B:$B)</f>
        <v>45505</v>
      </c>
      <c r="S215" s="16">
        <f>_xlfn.XLOOKUP($O215,'Campaign Data '!$A:$A,'Campaign Data '!$C:$C)</f>
        <v>45535</v>
      </c>
      <c r="T215" s="15" t="str">
        <f t="shared" si="10"/>
        <v>Before</v>
      </c>
    </row>
    <row r="216" spans="1:20" ht="15">
      <c r="A216" s="15" t="s">
        <v>430</v>
      </c>
      <c r="B216" s="15" t="s">
        <v>41</v>
      </c>
      <c r="C216" s="16">
        <v>45783</v>
      </c>
      <c r="D216" s="15" t="s">
        <v>50</v>
      </c>
      <c r="E216" s="15" t="s">
        <v>51</v>
      </c>
      <c r="F216" s="15">
        <v>4872</v>
      </c>
      <c r="G216" s="15">
        <v>925</v>
      </c>
      <c r="H216" s="15">
        <v>176</v>
      </c>
      <c r="I216" s="15">
        <v>82824</v>
      </c>
      <c r="J216" s="15">
        <v>82543</v>
      </c>
      <c r="K216" s="15">
        <v>89</v>
      </c>
      <c r="L216" s="15" t="s">
        <v>583</v>
      </c>
      <c r="M216" s="15" t="s">
        <v>586</v>
      </c>
      <c r="N216" s="15" t="str">
        <f t="shared" si="9"/>
        <v>MyntraSale,MyntraTrend</v>
      </c>
      <c r="O216" s="15" t="s">
        <v>19</v>
      </c>
      <c r="P216" s="17">
        <f>(Post[[#This Row],[Likes]]+Post[[#This Row],[Shares]]+Post[[#This Row],[Comments]])/Post[[#This Row],[Impressions]]</f>
        <v>7.2116777745580993E-2</v>
      </c>
      <c r="Q216" s="15">
        <f t="shared" si="11"/>
        <v>5973</v>
      </c>
      <c r="R216" s="16">
        <f>_xlfn.XLOOKUP($O216,'Campaign Data '!$A:$A,'Campaign Data '!$B:$B)</f>
        <v>45505</v>
      </c>
      <c r="S216" s="16">
        <f>_xlfn.XLOOKUP($O216,'Campaign Data '!$A:$A,'Campaign Data '!$C:$C)</f>
        <v>45535</v>
      </c>
      <c r="T216" s="15" t="str">
        <f t="shared" si="10"/>
        <v>Before</v>
      </c>
    </row>
    <row r="217" spans="1:20" ht="15">
      <c r="A217" s="15" t="s">
        <v>432</v>
      </c>
      <c r="B217" s="15" t="s">
        <v>27</v>
      </c>
      <c r="C217" s="16">
        <v>45502</v>
      </c>
      <c r="D217" s="15" t="s">
        <v>33</v>
      </c>
      <c r="E217" s="15" t="s">
        <v>34</v>
      </c>
      <c r="F217" s="15">
        <v>1509</v>
      </c>
      <c r="G217" s="15">
        <v>88</v>
      </c>
      <c r="H217" s="15">
        <v>163</v>
      </c>
      <c r="I217" s="15">
        <v>30180</v>
      </c>
      <c r="J217" s="15">
        <v>29689</v>
      </c>
      <c r="K217" s="15">
        <v>119</v>
      </c>
      <c r="L217" s="15" t="s">
        <v>586</v>
      </c>
      <c r="M217" s="15"/>
      <c r="N217" s="15" t="str">
        <f t="shared" si="9"/>
        <v>MyntraTrend</v>
      </c>
      <c r="O217" s="15" t="s">
        <v>19</v>
      </c>
      <c r="P217" s="17">
        <f>(Post[[#This Row],[Likes]]+Post[[#This Row],[Shares]]+Post[[#This Row],[Comments]])/Post[[#This Row],[Impressions]]</f>
        <v>5.8316766070245198E-2</v>
      </c>
      <c r="Q217" s="15">
        <f t="shared" si="11"/>
        <v>1760</v>
      </c>
      <c r="R217" s="16">
        <f>_xlfn.XLOOKUP($O217,'Campaign Data '!$A:$A,'Campaign Data '!$B:$B)</f>
        <v>45505</v>
      </c>
      <c r="S217" s="16">
        <f>_xlfn.XLOOKUP($O217,'Campaign Data '!$A:$A,'Campaign Data '!$C:$C)</f>
        <v>45535</v>
      </c>
      <c r="T217" s="15" t="str">
        <f t="shared" si="10"/>
        <v>Before</v>
      </c>
    </row>
    <row r="218" spans="1:20" ht="15">
      <c r="A218" s="15" t="s">
        <v>433</v>
      </c>
      <c r="B218" s="15" t="s">
        <v>41</v>
      </c>
      <c r="C218" s="16">
        <v>45629</v>
      </c>
      <c r="D218" s="15" t="s">
        <v>50</v>
      </c>
      <c r="E218" s="15" t="s">
        <v>51</v>
      </c>
      <c r="F218" s="15">
        <v>4606</v>
      </c>
      <c r="G218" s="15">
        <v>931</v>
      </c>
      <c r="H218" s="15">
        <v>230</v>
      </c>
      <c r="I218" s="15">
        <v>92120</v>
      </c>
      <c r="J218" s="15">
        <v>91440</v>
      </c>
      <c r="K218" s="15">
        <v>56</v>
      </c>
      <c r="L218" s="15" t="s">
        <v>588</v>
      </c>
      <c r="M218" s="15" t="s">
        <v>584</v>
      </c>
      <c r="N218" s="15" t="str">
        <f t="shared" si="9"/>
        <v>FashionDeals,MyntraFashion</v>
      </c>
      <c r="O218" s="15" t="s">
        <v>39</v>
      </c>
      <c r="P218" s="17">
        <f>(Post[[#This Row],[Likes]]+Post[[#This Row],[Shares]]+Post[[#This Row],[Comments]])/Post[[#This Row],[Impressions]]</f>
        <v>6.2603126356925748E-2</v>
      </c>
      <c r="Q218" s="15">
        <f t="shared" si="11"/>
        <v>5767</v>
      </c>
      <c r="R218" s="16">
        <f>_xlfn.XLOOKUP($O218,'Campaign Data '!$A:$A,'Campaign Data '!$B:$B)</f>
        <v>45570</v>
      </c>
      <c r="S218" s="16">
        <f>_xlfn.XLOOKUP($O218,'Campaign Data '!$A:$A,'Campaign Data '!$C:$C)</f>
        <v>45601</v>
      </c>
      <c r="T218" s="15" t="str">
        <f t="shared" si="10"/>
        <v>Before</v>
      </c>
    </row>
    <row r="219" spans="1:20" ht="15">
      <c r="A219" s="15" t="s">
        <v>434</v>
      </c>
      <c r="B219" s="15" t="s">
        <v>41</v>
      </c>
      <c r="C219" s="16">
        <v>45454</v>
      </c>
      <c r="D219" s="15" t="s">
        <v>43</v>
      </c>
      <c r="E219" s="15" t="s">
        <v>44</v>
      </c>
      <c r="F219" s="15">
        <v>1869</v>
      </c>
      <c r="G219" s="15">
        <v>453</v>
      </c>
      <c r="H219" s="15">
        <v>490</v>
      </c>
      <c r="I219" s="15">
        <v>14952</v>
      </c>
      <c r="J219" s="15">
        <v>14309</v>
      </c>
      <c r="K219" s="15">
        <v>275</v>
      </c>
      <c r="L219" s="15" t="s">
        <v>588</v>
      </c>
      <c r="M219" s="15" t="s">
        <v>585</v>
      </c>
      <c r="N219" s="15" t="str">
        <f t="shared" si="9"/>
        <v>FashionDeals,StyleWithMyntra</v>
      </c>
      <c r="O219" s="15" t="s">
        <v>19</v>
      </c>
      <c r="P219" s="17">
        <f>(Post[[#This Row],[Likes]]+Post[[#This Row],[Shares]]+Post[[#This Row],[Comments]])/Post[[#This Row],[Impressions]]</f>
        <v>0.18806848582129482</v>
      </c>
      <c r="Q219" s="15">
        <f t="shared" si="11"/>
        <v>2812</v>
      </c>
      <c r="R219" s="16">
        <f>_xlfn.XLOOKUP($O219,'Campaign Data '!$A:$A,'Campaign Data '!$B:$B)</f>
        <v>45505</v>
      </c>
      <c r="S219" s="16">
        <f>_xlfn.XLOOKUP($O219,'Campaign Data '!$A:$A,'Campaign Data '!$C:$C)</f>
        <v>45535</v>
      </c>
      <c r="T219" s="15" t="str">
        <f t="shared" si="10"/>
        <v>Before</v>
      </c>
    </row>
    <row r="220" spans="1:20" ht="15">
      <c r="A220" s="15" t="s">
        <v>435</v>
      </c>
      <c r="B220" s="15" t="s">
        <v>14</v>
      </c>
      <c r="C220" s="16">
        <v>45685</v>
      </c>
      <c r="D220" s="15" t="s">
        <v>16</v>
      </c>
      <c r="E220" s="15" t="s">
        <v>17</v>
      </c>
      <c r="F220" s="15">
        <v>1188</v>
      </c>
      <c r="G220" s="15">
        <v>470</v>
      </c>
      <c r="H220" s="15">
        <v>174</v>
      </c>
      <c r="I220" s="15">
        <v>7128</v>
      </c>
      <c r="J220" s="15">
        <v>6145</v>
      </c>
      <c r="K220" s="15">
        <v>270</v>
      </c>
      <c r="L220" s="15" t="s">
        <v>585</v>
      </c>
      <c r="M220" s="15" t="s">
        <v>584</v>
      </c>
      <c r="N220" s="15" t="str">
        <f t="shared" si="9"/>
        <v>StyleWithMyntra,MyntraFashion</v>
      </c>
      <c r="O220" s="15" t="s">
        <v>25</v>
      </c>
      <c r="P220" s="17">
        <f>(Post[[#This Row],[Likes]]+Post[[#This Row],[Shares]]+Post[[#This Row],[Comments]])/Post[[#This Row],[Impressions]]</f>
        <v>0.25701459034792368</v>
      </c>
      <c r="Q220" s="15">
        <f t="shared" si="11"/>
        <v>1832</v>
      </c>
      <c r="R220" s="16">
        <f>_xlfn.XLOOKUP($O220,'Campaign Data '!$A:$A,'Campaign Data '!$B:$B)</f>
        <v>45453</v>
      </c>
      <c r="S220" s="16">
        <f>_xlfn.XLOOKUP($O220,'Campaign Data '!$A:$A,'Campaign Data '!$C:$C)</f>
        <v>45478</v>
      </c>
      <c r="T220" s="15" t="str">
        <f t="shared" si="10"/>
        <v>Before</v>
      </c>
    </row>
    <row r="221" spans="1:20" ht="15">
      <c r="A221" s="15" t="s">
        <v>436</v>
      </c>
      <c r="B221" s="15" t="s">
        <v>31</v>
      </c>
      <c r="C221" s="16">
        <v>45445</v>
      </c>
      <c r="D221" s="15" t="s">
        <v>33</v>
      </c>
      <c r="E221" s="15" t="s">
        <v>34</v>
      </c>
      <c r="F221" s="15">
        <v>84</v>
      </c>
      <c r="G221" s="15">
        <v>897</v>
      </c>
      <c r="H221" s="15">
        <v>85</v>
      </c>
      <c r="I221" s="15">
        <v>588</v>
      </c>
      <c r="J221" s="15">
        <v>8</v>
      </c>
      <c r="K221" s="15">
        <v>12</v>
      </c>
      <c r="L221" s="15" t="s">
        <v>585</v>
      </c>
      <c r="M221" s="15"/>
      <c r="N221" s="15" t="str">
        <f t="shared" si="9"/>
        <v>StyleWithMyntra</v>
      </c>
      <c r="O221" s="15" t="s">
        <v>25</v>
      </c>
      <c r="P221" s="17">
        <f>(Post[[#This Row],[Likes]]+Post[[#This Row],[Shares]]+Post[[#This Row],[Comments]])/Post[[#This Row],[Impressions]]</f>
        <v>1.8129251700680271</v>
      </c>
      <c r="Q221" s="15">
        <f t="shared" si="11"/>
        <v>1066</v>
      </c>
      <c r="R221" s="16">
        <f>_xlfn.XLOOKUP($O221,'Campaign Data '!$A:$A,'Campaign Data '!$B:$B)</f>
        <v>45453</v>
      </c>
      <c r="S221" s="16">
        <f>_xlfn.XLOOKUP($O221,'Campaign Data '!$A:$A,'Campaign Data '!$C:$C)</f>
        <v>45478</v>
      </c>
      <c r="T221" s="15" t="str">
        <f t="shared" si="10"/>
        <v>Before</v>
      </c>
    </row>
    <row r="222" spans="1:20" ht="15">
      <c r="A222" s="15" t="s">
        <v>437</v>
      </c>
      <c r="B222" s="15" t="s">
        <v>41</v>
      </c>
      <c r="C222" s="16">
        <v>45739</v>
      </c>
      <c r="D222" s="15" t="s">
        <v>70</v>
      </c>
      <c r="E222" s="15" t="s">
        <v>71</v>
      </c>
      <c r="F222" s="15">
        <v>4453</v>
      </c>
      <c r="G222" s="15">
        <v>111</v>
      </c>
      <c r="H222" s="15">
        <v>420</v>
      </c>
      <c r="I222" s="15">
        <v>31171</v>
      </c>
      <c r="J222" s="15">
        <v>30565</v>
      </c>
      <c r="K222" s="15">
        <v>23</v>
      </c>
      <c r="L222" s="15" t="s">
        <v>586</v>
      </c>
      <c r="M222" s="15" t="s">
        <v>584</v>
      </c>
      <c r="N222" s="15" t="str">
        <f t="shared" si="9"/>
        <v>MyntraTrend,MyntraFashion</v>
      </c>
      <c r="O222" s="15" t="s">
        <v>56</v>
      </c>
      <c r="P222" s="17">
        <f>(Post[[#This Row],[Likes]]+Post[[#This Row],[Shares]]+Post[[#This Row],[Comments]])/Post[[#This Row],[Impressions]]</f>
        <v>0.15989220750056141</v>
      </c>
      <c r="Q222" s="15">
        <f t="shared" si="11"/>
        <v>4984</v>
      </c>
      <c r="R222" s="16">
        <f>_xlfn.XLOOKUP($O222,'Campaign Data '!$A:$A,'Campaign Data '!$B:$B)</f>
        <v>45667</v>
      </c>
      <c r="S222" s="16">
        <f>_xlfn.XLOOKUP($O222,'Campaign Data '!$A:$A,'Campaign Data '!$C:$C)</f>
        <v>45698</v>
      </c>
      <c r="T222" s="15" t="str">
        <f t="shared" si="10"/>
        <v>Before</v>
      </c>
    </row>
    <row r="223" spans="1:20" ht="15">
      <c r="A223" s="15" t="s">
        <v>438</v>
      </c>
      <c r="B223" s="15" t="s">
        <v>41</v>
      </c>
      <c r="C223" s="16">
        <v>45573</v>
      </c>
      <c r="D223" s="15" t="s">
        <v>16</v>
      </c>
      <c r="E223" s="15" t="s">
        <v>17</v>
      </c>
      <c r="F223" s="15">
        <v>1814</v>
      </c>
      <c r="G223" s="15">
        <v>653</v>
      </c>
      <c r="H223" s="15">
        <v>363</v>
      </c>
      <c r="I223" s="15">
        <v>25396</v>
      </c>
      <c r="J223" s="15">
        <v>25286</v>
      </c>
      <c r="K223" s="15">
        <v>39</v>
      </c>
      <c r="L223" s="15" t="s">
        <v>585</v>
      </c>
      <c r="M223" s="15"/>
      <c r="N223" s="15" t="str">
        <f t="shared" si="9"/>
        <v>StyleWithMyntra</v>
      </c>
      <c r="O223" s="15" t="s">
        <v>19</v>
      </c>
      <c r="P223" s="17">
        <f>(Post[[#This Row],[Likes]]+Post[[#This Row],[Shares]]+Post[[#This Row],[Comments]])/Post[[#This Row],[Impressions]]</f>
        <v>0.11143487163332809</v>
      </c>
      <c r="Q223" s="15">
        <f t="shared" si="11"/>
        <v>2830</v>
      </c>
      <c r="R223" s="16">
        <f>_xlfn.XLOOKUP($O223,'Campaign Data '!$A:$A,'Campaign Data '!$B:$B)</f>
        <v>45505</v>
      </c>
      <c r="S223" s="16">
        <f>_xlfn.XLOOKUP($O223,'Campaign Data '!$A:$A,'Campaign Data '!$C:$C)</f>
        <v>45535</v>
      </c>
      <c r="T223" s="15" t="str">
        <f t="shared" si="10"/>
        <v>Before</v>
      </c>
    </row>
    <row r="224" spans="1:20" ht="15">
      <c r="A224" s="15" t="s">
        <v>440</v>
      </c>
      <c r="B224" s="15" t="s">
        <v>14</v>
      </c>
      <c r="C224" s="16">
        <v>45608</v>
      </c>
      <c r="D224" s="15" t="s">
        <v>50</v>
      </c>
      <c r="E224" s="15" t="s">
        <v>51</v>
      </c>
      <c r="F224" s="15">
        <v>3338</v>
      </c>
      <c r="G224" s="15">
        <v>277</v>
      </c>
      <c r="H224" s="15">
        <v>118</v>
      </c>
      <c r="I224" s="15">
        <v>60084</v>
      </c>
      <c r="J224" s="15">
        <v>59842</v>
      </c>
      <c r="K224" s="15">
        <v>252</v>
      </c>
      <c r="L224" s="15" t="s">
        <v>585</v>
      </c>
      <c r="M224" s="15"/>
      <c r="N224" s="15" t="str">
        <f t="shared" si="9"/>
        <v>StyleWithMyntra</v>
      </c>
      <c r="O224" s="15" t="s">
        <v>19</v>
      </c>
      <c r="P224" s="17">
        <f>(Post[[#This Row],[Likes]]+Post[[#This Row],[Shares]]+Post[[#This Row],[Comments]])/Post[[#This Row],[Impressions]]</f>
        <v>6.2129685107516146E-2</v>
      </c>
      <c r="Q224" s="15">
        <f t="shared" si="11"/>
        <v>3733</v>
      </c>
      <c r="R224" s="16">
        <f>_xlfn.XLOOKUP($O224,'Campaign Data '!$A:$A,'Campaign Data '!$B:$B)</f>
        <v>45505</v>
      </c>
      <c r="S224" s="16">
        <f>_xlfn.XLOOKUP($O224,'Campaign Data '!$A:$A,'Campaign Data '!$C:$C)</f>
        <v>45535</v>
      </c>
      <c r="T224" s="15" t="str">
        <f t="shared" si="10"/>
        <v>Before</v>
      </c>
    </row>
    <row r="225" spans="1:20" ht="15">
      <c r="A225" s="15" t="s">
        <v>441</v>
      </c>
      <c r="B225" s="15" t="s">
        <v>41</v>
      </c>
      <c r="C225" s="16">
        <v>45790</v>
      </c>
      <c r="D225" s="15" t="s">
        <v>50</v>
      </c>
      <c r="E225" s="15" t="s">
        <v>51</v>
      </c>
      <c r="F225" s="15">
        <v>602</v>
      </c>
      <c r="G225" s="15">
        <v>594</v>
      </c>
      <c r="H225" s="15">
        <v>156</v>
      </c>
      <c r="I225" s="15">
        <v>4214</v>
      </c>
      <c r="J225" s="15">
        <v>3363</v>
      </c>
      <c r="K225" s="15">
        <v>164</v>
      </c>
      <c r="L225" s="15" t="s">
        <v>583</v>
      </c>
      <c r="M225" s="15"/>
      <c r="N225" s="15" t="str">
        <f t="shared" si="9"/>
        <v>MyntraSale</v>
      </c>
      <c r="O225" s="15" t="s">
        <v>39</v>
      </c>
      <c r="P225" s="17">
        <f>(Post[[#This Row],[Likes]]+Post[[#This Row],[Shares]]+Post[[#This Row],[Comments]])/Post[[#This Row],[Impressions]]</f>
        <v>0.32083531086853345</v>
      </c>
      <c r="Q225" s="15">
        <f t="shared" si="11"/>
        <v>1352</v>
      </c>
      <c r="R225" s="16">
        <f>_xlfn.XLOOKUP($O225,'Campaign Data '!$A:$A,'Campaign Data '!$B:$B)</f>
        <v>45570</v>
      </c>
      <c r="S225" s="16">
        <f>_xlfn.XLOOKUP($O225,'Campaign Data '!$A:$A,'Campaign Data '!$C:$C)</f>
        <v>45601</v>
      </c>
      <c r="T225" s="15" t="str">
        <f t="shared" si="10"/>
        <v>Before</v>
      </c>
    </row>
    <row r="226" spans="1:20" ht="15">
      <c r="A226" s="15" t="s">
        <v>443</v>
      </c>
      <c r="B226" s="15" t="s">
        <v>14</v>
      </c>
      <c r="C226" s="16">
        <v>45463</v>
      </c>
      <c r="D226" s="15" t="s">
        <v>43</v>
      </c>
      <c r="E226" s="15" t="s">
        <v>44</v>
      </c>
      <c r="F226" s="15">
        <v>4672</v>
      </c>
      <c r="G226" s="15">
        <v>325</v>
      </c>
      <c r="H226" s="15">
        <v>32</v>
      </c>
      <c r="I226" s="15">
        <v>88768</v>
      </c>
      <c r="J226" s="15">
        <v>87833</v>
      </c>
      <c r="K226" s="15">
        <v>118</v>
      </c>
      <c r="L226" s="15" t="s">
        <v>588</v>
      </c>
      <c r="M226" s="15" t="s">
        <v>583</v>
      </c>
      <c r="N226" s="15" t="str">
        <f t="shared" si="9"/>
        <v>FashionDeals,MyntraSale</v>
      </c>
      <c r="O226" s="15" t="s">
        <v>39</v>
      </c>
      <c r="P226" s="17">
        <f>(Post[[#This Row],[Likes]]+Post[[#This Row],[Shares]]+Post[[#This Row],[Comments]])/Post[[#This Row],[Impressions]]</f>
        <v>5.6653298485940883E-2</v>
      </c>
      <c r="Q226" s="15">
        <f t="shared" si="11"/>
        <v>5029</v>
      </c>
      <c r="R226" s="16">
        <f>_xlfn.XLOOKUP($O226,'Campaign Data '!$A:$A,'Campaign Data '!$B:$B)</f>
        <v>45570</v>
      </c>
      <c r="S226" s="16">
        <f>_xlfn.XLOOKUP($O226,'Campaign Data '!$A:$A,'Campaign Data '!$C:$C)</f>
        <v>45601</v>
      </c>
      <c r="T226" s="15" t="str">
        <f t="shared" si="10"/>
        <v>Before</v>
      </c>
    </row>
    <row r="227" spans="1:20" ht="15">
      <c r="A227" s="15" t="s">
        <v>444</v>
      </c>
      <c r="B227" s="15" t="s">
        <v>31</v>
      </c>
      <c r="C227" s="16">
        <v>45511</v>
      </c>
      <c r="D227" s="15" t="s">
        <v>43</v>
      </c>
      <c r="E227" s="15" t="s">
        <v>44</v>
      </c>
      <c r="F227" s="15">
        <v>1741</v>
      </c>
      <c r="G227" s="15">
        <v>164</v>
      </c>
      <c r="H227" s="15">
        <v>318</v>
      </c>
      <c r="I227" s="15">
        <v>8705</v>
      </c>
      <c r="J227" s="15">
        <v>8272</v>
      </c>
      <c r="K227" s="15">
        <v>121</v>
      </c>
      <c r="L227" s="15" t="s">
        <v>583</v>
      </c>
      <c r="M227" s="15"/>
      <c r="N227" s="15" t="str">
        <f t="shared" si="9"/>
        <v>MyntraSale</v>
      </c>
      <c r="O227" s="15" t="s">
        <v>25</v>
      </c>
      <c r="P227" s="17">
        <f>(Post[[#This Row],[Likes]]+Post[[#This Row],[Shares]]+Post[[#This Row],[Comments]])/Post[[#This Row],[Impressions]]</f>
        <v>0.25537047673750718</v>
      </c>
      <c r="Q227" s="15">
        <f t="shared" si="11"/>
        <v>2223</v>
      </c>
      <c r="R227" s="16">
        <f>_xlfn.XLOOKUP($O227,'Campaign Data '!$A:$A,'Campaign Data '!$B:$B)</f>
        <v>45453</v>
      </c>
      <c r="S227" s="16">
        <f>_xlfn.XLOOKUP($O227,'Campaign Data '!$A:$A,'Campaign Data '!$C:$C)</f>
        <v>45478</v>
      </c>
      <c r="T227" s="15" t="str">
        <f t="shared" si="10"/>
        <v>Before</v>
      </c>
    </row>
    <row r="228" spans="1:20" ht="15">
      <c r="A228" s="15" t="s">
        <v>446</v>
      </c>
      <c r="B228" s="15" t="s">
        <v>31</v>
      </c>
      <c r="C228" s="16">
        <v>45455</v>
      </c>
      <c r="D228" s="15" t="s">
        <v>22</v>
      </c>
      <c r="E228" s="15" t="s">
        <v>23</v>
      </c>
      <c r="F228" s="15">
        <v>246</v>
      </c>
      <c r="G228" s="15">
        <v>149</v>
      </c>
      <c r="H228" s="15">
        <v>130</v>
      </c>
      <c r="I228" s="15">
        <v>4674</v>
      </c>
      <c r="J228" s="15">
        <v>4390</v>
      </c>
      <c r="K228" s="15">
        <v>217</v>
      </c>
      <c r="L228" s="15" t="s">
        <v>586</v>
      </c>
      <c r="M228" s="15" t="s">
        <v>588</v>
      </c>
      <c r="N228" s="15" t="str">
        <f t="shared" si="9"/>
        <v>MyntraTrend,FashionDeals</v>
      </c>
      <c r="O228" s="15" t="s">
        <v>25</v>
      </c>
      <c r="P228" s="17">
        <f>(Post[[#This Row],[Likes]]+Post[[#This Row],[Shares]]+Post[[#This Row],[Comments]])/Post[[#This Row],[Impressions]]</f>
        <v>0.11232349165596919</v>
      </c>
      <c r="Q228" s="15">
        <f t="shared" si="11"/>
        <v>525</v>
      </c>
      <c r="R228" s="16">
        <f>_xlfn.XLOOKUP($O228,'Campaign Data '!$A:$A,'Campaign Data '!$B:$B)</f>
        <v>45453</v>
      </c>
      <c r="S228" s="16">
        <f>_xlfn.XLOOKUP($O228,'Campaign Data '!$A:$A,'Campaign Data '!$C:$C)</f>
        <v>45478</v>
      </c>
      <c r="T228" s="15" t="str">
        <f t="shared" si="10"/>
        <v>During</v>
      </c>
    </row>
    <row r="229" spans="1:20" ht="15">
      <c r="A229" s="15" t="s">
        <v>448</v>
      </c>
      <c r="B229" s="15" t="s">
        <v>31</v>
      </c>
      <c r="C229" s="16">
        <v>45474</v>
      </c>
      <c r="D229" s="15" t="s">
        <v>33</v>
      </c>
      <c r="E229" s="15" t="s">
        <v>34</v>
      </c>
      <c r="F229" s="15">
        <v>4808</v>
      </c>
      <c r="G229" s="15">
        <v>772</v>
      </c>
      <c r="H229" s="15">
        <v>320</v>
      </c>
      <c r="I229" s="15">
        <v>72120</v>
      </c>
      <c r="J229" s="15">
        <v>71696</v>
      </c>
      <c r="K229" s="15">
        <v>195</v>
      </c>
      <c r="L229" s="15" t="s">
        <v>586</v>
      </c>
      <c r="M229" s="15" t="s">
        <v>583</v>
      </c>
      <c r="N229" s="15" t="str">
        <f t="shared" si="9"/>
        <v>MyntraTrend,MyntraSale</v>
      </c>
      <c r="O229" s="15" t="s">
        <v>56</v>
      </c>
      <c r="P229" s="17">
        <f>(Post[[#This Row],[Likes]]+Post[[#This Row],[Shares]]+Post[[#This Row],[Comments]])/Post[[#This Row],[Impressions]]</f>
        <v>8.1808097615085965E-2</v>
      </c>
      <c r="Q229" s="15">
        <f t="shared" si="11"/>
        <v>5900</v>
      </c>
      <c r="R229" s="16">
        <f>_xlfn.XLOOKUP($O229,'Campaign Data '!$A:$A,'Campaign Data '!$B:$B)</f>
        <v>45667</v>
      </c>
      <c r="S229" s="16">
        <f>_xlfn.XLOOKUP($O229,'Campaign Data '!$A:$A,'Campaign Data '!$C:$C)</f>
        <v>45698</v>
      </c>
      <c r="T229" s="15" t="str">
        <f t="shared" si="10"/>
        <v>Before</v>
      </c>
    </row>
    <row r="230" spans="1:20" ht="15">
      <c r="A230" s="15" t="s">
        <v>450</v>
      </c>
      <c r="B230" s="15" t="s">
        <v>31</v>
      </c>
      <c r="C230" s="16">
        <v>45476</v>
      </c>
      <c r="D230" s="15" t="s">
        <v>43</v>
      </c>
      <c r="E230" s="15" t="s">
        <v>44</v>
      </c>
      <c r="F230" s="15">
        <v>4799</v>
      </c>
      <c r="G230" s="15">
        <v>694</v>
      </c>
      <c r="H230" s="15">
        <v>289</v>
      </c>
      <c r="I230" s="15">
        <v>43191</v>
      </c>
      <c r="J230" s="15">
        <v>42228</v>
      </c>
      <c r="K230" s="15">
        <v>118</v>
      </c>
      <c r="L230" s="15" t="s">
        <v>586</v>
      </c>
      <c r="M230" s="15"/>
      <c r="N230" s="15" t="str">
        <f t="shared" si="9"/>
        <v>MyntraTrend</v>
      </c>
      <c r="O230" s="15" t="s">
        <v>25</v>
      </c>
      <c r="P230" s="17">
        <f>(Post[[#This Row],[Likes]]+Post[[#This Row],[Shares]]+Post[[#This Row],[Comments]])/Post[[#This Row],[Impressions]]</f>
        <v>0.13387048227640017</v>
      </c>
      <c r="Q230" s="15">
        <f t="shared" si="11"/>
        <v>5782</v>
      </c>
      <c r="R230" s="16">
        <f>_xlfn.XLOOKUP($O230,'Campaign Data '!$A:$A,'Campaign Data '!$B:$B)</f>
        <v>45453</v>
      </c>
      <c r="S230" s="16">
        <f>_xlfn.XLOOKUP($O230,'Campaign Data '!$A:$A,'Campaign Data '!$C:$C)</f>
        <v>45478</v>
      </c>
      <c r="T230" s="15" t="str">
        <f t="shared" si="10"/>
        <v>During</v>
      </c>
    </row>
    <row r="231" spans="1:20" ht="15">
      <c r="A231" s="15" t="s">
        <v>451</v>
      </c>
      <c r="B231" s="15" t="s">
        <v>41</v>
      </c>
      <c r="C231" s="16">
        <v>45488</v>
      </c>
      <c r="D231" s="15" t="s">
        <v>16</v>
      </c>
      <c r="E231" s="15" t="s">
        <v>17</v>
      </c>
      <c r="F231" s="15">
        <v>3663</v>
      </c>
      <c r="G231" s="15">
        <v>17</v>
      </c>
      <c r="H231" s="15">
        <v>295</v>
      </c>
      <c r="I231" s="15">
        <v>51282</v>
      </c>
      <c r="J231" s="15">
        <v>50567</v>
      </c>
      <c r="K231" s="15">
        <v>84</v>
      </c>
      <c r="L231" s="15" t="s">
        <v>583</v>
      </c>
      <c r="M231" s="15"/>
      <c r="N231" s="15" t="str">
        <f t="shared" si="9"/>
        <v>MyntraSale</v>
      </c>
      <c r="O231" s="15" t="s">
        <v>19</v>
      </c>
      <c r="P231" s="17">
        <f>(Post[[#This Row],[Likes]]+Post[[#This Row],[Shares]]+Post[[#This Row],[Comments]])/Post[[#This Row],[Impressions]]</f>
        <v>7.7512577512577507E-2</v>
      </c>
      <c r="Q231" s="15">
        <f t="shared" si="11"/>
        <v>3975</v>
      </c>
      <c r="R231" s="16">
        <f>_xlfn.XLOOKUP($O231,'Campaign Data '!$A:$A,'Campaign Data '!$B:$B)</f>
        <v>45505</v>
      </c>
      <c r="S231" s="16">
        <f>_xlfn.XLOOKUP($O231,'Campaign Data '!$A:$A,'Campaign Data '!$C:$C)</f>
        <v>45535</v>
      </c>
      <c r="T231" s="15" t="str">
        <f t="shared" si="10"/>
        <v>Before</v>
      </c>
    </row>
    <row r="232" spans="1:20" ht="15">
      <c r="A232" s="15" t="s">
        <v>452</v>
      </c>
      <c r="B232" s="15" t="s">
        <v>31</v>
      </c>
      <c r="C232" s="16">
        <v>45778</v>
      </c>
      <c r="D232" s="15" t="s">
        <v>22</v>
      </c>
      <c r="E232" s="15" t="s">
        <v>23</v>
      </c>
      <c r="F232" s="15">
        <v>1430</v>
      </c>
      <c r="G232" s="15">
        <v>376</v>
      </c>
      <c r="H232" s="15">
        <v>33</v>
      </c>
      <c r="I232" s="15">
        <v>21450</v>
      </c>
      <c r="J232" s="15">
        <v>20509</v>
      </c>
      <c r="K232" s="15">
        <v>251</v>
      </c>
      <c r="L232" s="15" t="s">
        <v>588</v>
      </c>
      <c r="M232" s="15"/>
      <c r="N232" s="15" t="str">
        <f t="shared" si="9"/>
        <v>FashionDeals</v>
      </c>
      <c r="O232" s="15" t="s">
        <v>39</v>
      </c>
      <c r="P232" s="17">
        <f>(Post[[#This Row],[Likes]]+Post[[#This Row],[Shares]]+Post[[#This Row],[Comments]])/Post[[#This Row],[Impressions]]</f>
        <v>8.5734265734265735E-2</v>
      </c>
      <c r="Q232" s="15">
        <f t="shared" si="11"/>
        <v>1839</v>
      </c>
      <c r="R232" s="16">
        <f>_xlfn.XLOOKUP($O232,'Campaign Data '!$A:$A,'Campaign Data '!$B:$B)</f>
        <v>45570</v>
      </c>
      <c r="S232" s="16">
        <f>_xlfn.XLOOKUP($O232,'Campaign Data '!$A:$A,'Campaign Data '!$C:$C)</f>
        <v>45601</v>
      </c>
      <c r="T232" s="15" t="str">
        <f t="shared" si="10"/>
        <v>Before</v>
      </c>
    </row>
    <row r="233" spans="1:20" ht="15">
      <c r="A233" s="15" t="s">
        <v>453</v>
      </c>
      <c r="B233" s="15" t="s">
        <v>14</v>
      </c>
      <c r="C233" s="16">
        <v>45776</v>
      </c>
      <c r="D233" s="15" t="s">
        <v>33</v>
      </c>
      <c r="E233" s="15" t="s">
        <v>34</v>
      </c>
      <c r="F233" s="15">
        <v>249</v>
      </c>
      <c r="G233" s="15">
        <v>592</v>
      </c>
      <c r="H233" s="15">
        <v>230</v>
      </c>
      <c r="I233" s="15">
        <v>1494</v>
      </c>
      <c r="J233" s="15">
        <v>1044</v>
      </c>
      <c r="K233" s="15">
        <v>201</v>
      </c>
      <c r="L233" s="15" t="s">
        <v>584</v>
      </c>
      <c r="M233" s="15" t="s">
        <v>586</v>
      </c>
      <c r="N233" s="15" t="str">
        <f t="shared" si="9"/>
        <v>MyntraFashion,MyntraTrend</v>
      </c>
      <c r="O233" s="15" t="s">
        <v>56</v>
      </c>
      <c r="P233" s="17">
        <f>(Post[[#This Row],[Likes]]+Post[[#This Row],[Shares]]+Post[[#This Row],[Comments]])/Post[[#This Row],[Impressions]]</f>
        <v>0.7168674698795181</v>
      </c>
      <c r="Q233" s="15">
        <f t="shared" si="11"/>
        <v>1071</v>
      </c>
      <c r="R233" s="16">
        <f>_xlfn.XLOOKUP($O233,'Campaign Data '!$A:$A,'Campaign Data '!$B:$B)</f>
        <v>45667</v>
      </c>
      <c r="S233" s="16">
        <f>_xlfn.XLOOKUP($O233,'Campaign Data '!$A:$A,'Campaign Data '!$C:$C)</f>
        <v>45698</v>
      </c>
      <c r="T233" s="15" t="str">
        <f t="shared" si="10"/>
        <v>Before</v>
      </c>
    </row>
    <row r="234" spans="1:20" ht="15">
      <c r="A234" s="15" t="s">
        <v>455</v>
      </c>
      <c r="B234" s="15" t="s">
        <v>41</v>
      </c>
      <c r="C234" s="16">
        <v>45724</v>
      </c>
      <c r="D234" s="15" t="s">
        <v>50</v>
      </c>
      <c r="E234" s="15" t="s">
        <v>51</v>
      </c>
      <c r="F234" s="15">
        <v>2382</v>
      </c>
      <c r="G234" s="15">
        <v>265</v>
      </c>
      <c r="H234" s="15">
        <v>134</v>
      </c>
      <c r="I234" s="15">
        <v>38112</v>
      </c>
      <c r="J234" s="15">
        <v>37437</v>
      </c>
      <c r="K234" s="15">
        <v>249</v>
      </c>
      <c r="L234" s="15" t="s">
        <v>588</v>
      </c>
      <c r="M234" s="15" t="s">
        <v>586</v>
      </c>
      <c r="N234" s="15" t="str">
        <f t="shared" si="9"/>
        <v>FashionDeals,MyntraTrend</v>
      </c>
      <c r="O234" s="15" t="s">
        <v>25</v>
      </c>
      <c r="P234" s="17">
        <f>(Post[[#This Row],[Likes]]+Post[[#This Row],[Shares]]+Post[[#This Row],[Comments]])/Post[[#This Row],[Impressions]]</f>
        <v>7.2969143576826198E-2</v>
      </c>
      <c r="Q234" s="15">
        <f t="shared" si="11"/>
        <v>2781</v>
      </c>
      <c r="R234" s="16">
        <f>_xlfn.XLOOKUP($O234,'Campaign Data '!$A:$A,'Campaign Data '!$B:$B)</f>
        <v>45453</v>
      </c>
      <c r="S234" s="16">
        <f>_xlfn.XLOOKUP($O234,'Campaign Data '!$A:$A,'Campaign Data '!$C:$C)</f>
        <v>45478</v>
      </c>
      <c r="T234" s="15" t="str">
        <f t="shared" si="10"/>
        <v>Before</v>
      </c>
    </row>
    <row r="235" spans="1:20" ht="15">
      <c r="A235" s="15" t="s">
        <v>456</v>
      </c>
      <c r="B235" s="15" t="s">
        <v>41</v>
      </c>
      <c r="C235" s="16">
        <v>45444</v>
      </c>
      <c r="D235" s="15" t="s">
        <v>22</v>
      </c>
      <c r="E235" s="15" t="s">
        <v>23</v>
      </c>
      <c r="F235" s="15">
        <v>1272</v>
      </c>
      <c r="G235" s="15">
        <v>465</v>
      </c>
      <c r="H235" s="15">
        <v>99</v>
      </c>
      <c r="I235" s="15">
        <v>24168</v>
      </c>
      <c r="J235" s="15">
        <v>23719</v>
      </c>
      <c r="K235" s="15">
        <v>42</v>
      </c>
      <c r="L235" s="15" t="s">
        <v>584</v>
      </c>
      <c r="M235" s="15" t="s">
        <v>588</v>
      </c>
      <c r="N235" s="15" t="str">
        <f t="shared" si="9"/>
        <v>MyntraFashion,FashionDeals</v>
      </c>
      <c r="O235" s="15" t="s">
        <v>25</v>
      </c>
      <c r="P235" s="17">
        <f>(Post[[#This Row],[Likes]]+Post[[#This Row],[Shares]]+Post[[#This Row],[Comments]])/Post[[#This Row],[Impressions]]</f>
        <v>7.5968222442899705E-2</v>
      </c>
      <c r="Q235" s="15">
        <f t="shared" si="11"/>
        <v>1836</v>
      </c>
      <c r="R235" s="16">
        <f>_xlfn.XLOOKUP($O235,'Campaign Data '!$A:$A,'Campaign Data '!$B:$B)</f>
        <v>45453</v>
      </c>
      <c r="S235" s="16">
        <f>_xlfn.XLOOKUP($O235,'Campaign Data '!$A:$A,'Campaign Data '!$C:$C)</f>
        <v>45478</v>
      </c>
      <c r="T235" s="15" t="str">
        <f t="shared" si="10"/>
        <v>Before</v>
      </c>
    </row>
    <row r="236" spans="1:20" ht="15">
      <c r="A236" s="15" t="s">
        <v>458</v>
      </c>
      <c r="B236" s="15" t="s">
        <v>41</v>
      </c>
      <c r="C236" s="16">
        <v>45648</v>
      </c>
      <c r="D236" s="15" t="s">
        <v>50</v>
      </c>
      <c r="E236" s="15" t="s">
        <v>51</v>
      </c>
      <c r="F236" s="15">
        <v>3196</v>
      </c>
      <c r="G236" s="15">
        <v>941</v>
      </c>
      <c r="H236" s="15">
        <v>376</v>
      </c>
      <c r="I236" s="15">
        <v>35156</v>
      </c>
      <c r="J236" s="15">
        <v>34444</v>
      </c>
      <c r="K236" s="15">
        <v>241</v>
      </c>
      <c r="L236" s="15" t="s">
        <v>585</v>
      </c>
      <c r="M236" s="15" t="s">
        <v>586</v>
      </c>
      <c r="N236" s="15" t="str">
        <f t="shared" si="9"/>
        <v>StyleWithMyntra,MyntraTrend</v>
      </c>
      <c r="O236" s="15" t="s">
        <v>56</v>
      </c>
      <c r="P236" s="17">
        <f>(Post[[#This Row],[Likes]]+Post[[#This Row],[Shares]]+Post[[#This Row],[Comments]])/Post[[#This Row],[Impressions]]</f>
        <v>0.1283706906360223</v>
      </c>
      <c r="Q236" s="15">
        <f t="shared" si="11"/>
        <v>4513</v>
      </c>
      <c r="R236" s="16">
        <f>_xlfn.XLOOKUP($O236,'Campaign Data '!$A:$A,'Campaign Data '!$B:$B)</f>
        <v>45667</v>
      </c>
      <c r="S236" s="16">
        <f>_xlfn.XLOOKUP($O236,'Campaign Data '!$A:$A,'Campaign Data '!$C:$C)</f>
        <v>45698</v>
      </c>
      <c r="T236" s="15" t="str">
        <f t="shared" si="10"/>
        <v>Before</v>
      </c>
    </row>
    <row r="237" spans="1:20" ht="15">
      <c r="A237" s="15" t="s">
        <v>459</v>
      </c>
      <c r="B237" s="15" t="s">
        <v>41</v>
      </c>
      <c r="C237" s="16">
        <v>45523</v>
      </c>
      <c r="D237" s="15" t="s">
        <v>22</v>
      </c>
      <c r="E237" s="15" t="s">
        <v>23</v>
      </c>
      <c r="F237" s="15">
        <v>1257</v>
      </c>
      <c r="G237" s="15">
        <v>19</v>
      </c>
      <c r="H237" s="15">
        <v>351</v>
      </c>
      <c r="I237" s="15">
        <v>12570</v>
      </c>
      <c r="J237" s="15">
        <v>11660</v>
      </c>
      <c r="K237" s="15">
        <v>194</v>
      </c>
      <c r="L237" s="15" t="s">
        <v>585</v>
      </c>
      <c r="M237" s="15"/>
      <c r="N237" s="15" t="str">
        <f t="shared" si="9"/>
        <v>StyleWithMyntra</v>
      </c>
      <c r="O237" s="15" t="s">
        <v>19</v>
      </c>
      <c r="P237" s="17">
        <f>(Post[[#This Row],[Likes]]+Post[[#This Row],[Shares]]+Post[[#This Row],[Comments]])/Post[[#This Row],[Impressions]]</f>
        <v>0.12943516308671441</v>
      </c>
      <c r="Q237" s="15">
        <f t="shared" si="11"/>
        <v>1627</v>
      </c>
      <c r="R237" s="16">
        <f>_xlfn.XLOOKUP($O237,'Campaign Data '!$A:$A,'Campaign Data '!$B:$B)</f>
        <v>45505</v>
      </c>
      <c r="S237" s="16">
        <f>_xlfn.XLOOKUP($O237,'Campaign Data '!$A:$A,'Campaign Data '!$C:$C)</f>
        <v>45535</v>
      </c>
      <c r="T237" s="15" t="str">
        <f t="shared" si="10"/>
        <v>During</v>
      </c>
    </row>
    <row r="238" spans="1:20" ht="15">
      <c r="A238" s="15" t="s">
        <v>460</v>
      </c>
      <c r="B238" s="15" t="s">
        <v>31</v>
      </c>
      <c r="C238" s="16">
        <v>45587</v>
      </c>
      <c r="D238" s="15" t="s">
        <v>33</v>
      </c>
      <c r="E238" s="15" t="s">
        <v>34</v>
      </c>
      <c r="F238" s="15">
        <v>3770</v>
      </c>
      <c r="G238" s="15">
        <v>917</v>
      </c>
      <c r="H238" s="15">
        <v>129</v>
      </c>
      <c r="I238" s="15">
        <v>71630</v>
      </c>
      <c r="J238" s="15">
        <v>71322</v>
      </c>
      <c r="K238" s="15">
        <v>76</v>
      </c>
      <c r="L238" s="15" t="s">
        <v>583</v>
      </c>
      <c r="M238" s="15" t="s">
        <v>586</v>
      </c>
      <c r="N238" s="15" t="str">
        <f t="shared" si="9"/>
        <v>MyntraSale,MyntraTrend</v>
      </c>
      <c r="O238" s="15" t="s">
        <v>56</v>
      </c>
      <c r="P238" s="17">
        <f>(Post[[#This Row],[Likes]]+Post[[#This Row],[Shares]]+Post[[#This Row],[Comments]])/Post[[#This Row],[Impressions]]</f>
        <v>6.7234398994834563E-2</v>
      </c>
      <c r="Q238" s="15">
        <f t="shared" si="11"/>
        <v>4816</v>
      </c>
      <c r="R238" s="16">
        <f>_xlfn.XLOOKUP($O238,'Campaign Data '!$A:$A,'Campaign Data '!$B:$B)</f>
        <v>45667</v>
      </c>
      <c r="S238" s="16">
        <f>_xlfn.XLOOKUP($O238,'Campaign Data '!$A:$A,'Campaign Data '!$C:$C)</f>
        <v>45698</v>
      </c>
      <c r="T238" s="15" t="str">
        <f t="shared" si="10"/>
        <v>Before</v>
      </c>
    </row>
    <row r="239" spans="1:20" ht="15">
      <c r="A239" s="15" t="s">
        <v>461</v>
      </c>
      <c r="B239" s="15" t="s">
        <v>14</v>
      </c>
      <c r="C239" s="16">
        <v>45489</v>
      </c>
      <c r="D239" s="15" t="s">
        <v>22</v>
      </c>
      <c r="E239" s="15" t="s">
        <v>23</v>
      </c>
      <c r="F239" s="15">
        <v>4725</v>
      </c>
      <c r="G239" s="15">
        <v>400</v>
      </c>
      <c r="H239" s="15">
        <v>362</v>
      </c>
      <c r="I239" s="15">
        <v>75600</v>
      </c>
      <c r="J239" s="15">
        <v>74927</v>
      </c>
      <c r="K239" s="15">
        <v>43</v>
      </c>
      <c r="L239" s="15" t="s">
        <v>586</v>
      </c>
      <c r="M239" s="15" t="s">
        <v>584</v>
      </c>
      <c r="N239" s="15" t="str">
        <f t="shared" si="9"/>
        <v>MyntraTrend,MyntraFashion</v>
      </c>
      <c r="O239" s="15" t="s">
        <v>19</v>
      </c>
      <c r="P239" s="17">
        <f>(Post[[#This Row],[Likes]]+Post[[#This Row],[Shares]]+Post[[#This Row],[Comments]])/Post[[#This Row],[Impressions]]</f>
        <v>7.2579365079365077E-2</v>
      </c>
      <c r="Q239" s="15">
        <f t="shared" si="11"/>
        <v>5487</v>
      </c>
      <c r="R239" s="16">
        <f>_xlfn.XLOOKUP($O239,'Campaign Data '!$A:$A,'Campaign Data '!$B:$B)</f>
        <v>45505</v>
      </c>
      <c r="S239" s="16">
        <f>_xlfn.XLOOKUP($O239,'Campaign Data '!$A:$A,'Campaign Data '!$C:$C)</f>
        <v>45535</v>
      </c>
      <c r="T239" s="15" t="str">
        <f t="shared" si="10"/>
        <v>Before</v>
      </c>
    </row>
    <row r="240" spans="1:20" ht="15">
      <c r="A240" s="15" t="s">
        <v>463</v>
      </c>
      <c r="B240" s="15" t="s">
        <v>27</v>
      </c>
      <c r="C240" s="16">
        <v>45712</v>
      </c>
      <c r="D240" s="15" t="s">
        <v>22</v>
      </c>
      <c r="E240" s="15" t="s">
        <v>23</v>
      </c>
      <c r="F240" s="15">
        <v>4188</v>
      </c>
      <c r="G240" s="15">
        <v>942</v>
      </c>
      <c r="H240" s="15">
        <v>118</v>
      </c>
      <c r="I240" s="15">
        <v>20940</v>
      </c>
      <c r="J240" s="15">
        <v>20471</v>
      </c>
      <c r="K240" s="15">
        <v>102</v>
      </c>
      <c r="L240" s="15" t="s">
        <v>585</v>
      </c>
      <c r="M240" s="15"/>
      <c r="N240" s="15" t="str">
        <f t="shared" si="9"/>
        <v>StyleWithMyntra</v>
      </c>
      <c r="O240" s="15" t="s">
        <v>25</v>
      </c>
      <c r="P240" s="17">
        <f>(Post[[#This Row],[Likes]]+Post[[#This Row],[Shares]]+Post[[#This Row],[Comments]])/Post[[#This Row],[Impressions]]</f>
        <v>0.25062082139446035</v>
      </c>
      <c r="Q240" s="15">
        <f t="shared" si="11"/>
        <v>5248</v>
      </c>
      <c r="R240" s="16">
        <f>_xlfn.XLOOKUP($O240,'Campaign Data '!$A:$A,'Campaign Data '!$B:$B)</f>
        <v>45453</v>
      </c>
      <c r="S240" s="16">
        <f>_xlfn.XLOOKUP($O240,'Campaign Data '!$A:$A,'Campaign Data '!$C:$C)</f>
        <v>45478</v>
      </c>
      <c r="T240" s="15" t="str">
        <f t="shared" si="10"/>
        <v>Before</v>
      </c>
    </row>
    <row r="241" spans="1:20" ht="15">
      <c r="A241" s="15" t="s">
        <v>464</v>
      </c>
      <c r="B241" s="15" t="s">
        <v>14</v>
      </c>
      <c r="C241" s="16">
        <v>45530</v>
      </c>
      <c r="D241" s="15" t="s">
        <v>43</v>
      </c>
      <c r="E241" s="15" t="s">
        <v>44</v>
      </c>
      <c r="F241" s="15">
        <v>929</v>
      </c>
      <c r="G241" s="15">
        <v>192</v>
      </c>
      <c r="H241" s="15">
        <v>322</v>
      </c>
      <c r="I241" s="15">
        <v>16722</v>
      </c>
      <c r="J241" s="15">
        <v>15996</v>
      </c>
      <c r="K241" s="15">
        <v>145</v>
      </c>
      <c r="L241" s="15" t="s">
        <v>584</v>
      </c>
      <c r="M241" s="15"/>
      <c r="N241" s="15" t="str">
        <f t="shared" si="9"/>
        <v>MyntraFashion</v>
      </c>
      <c r="O241" s="15" t="s">
        <v>39</v>
      </c>
      <c r="P241" s="17">
        <f>(Post[[#This Row],[Likes]]+Post[[#This Row],[Shares]]+Post[[#This Row],[Comments]])/Post[[#This Row],[Impressions]]</f>
        <v>8.6293505561535699E-2</v>
      </c>
      <c r="Q241" s="15">
        <f t="shared" si="11"/>
        <v>1443</v>
      </c>
      <c r="R241" s="16">
        <f>_xlfn.XLOOKUP($O241,'Campaign Data '!$A:$A,'Campaign Data '!$B:$B)</f>
        <v>45570</v>
      </c>
      <c r="S241" s="16">
        <f>_xlfn.XLOOKUP($O241,'Campaign Data '!$A:$A,'Campaign Data '!$C:$C)</f>
        <v>45601</v>
      </c>
      <c r="T241" s="15" t="str">
        <f t="shared" si="10"/>
        <v>Before</v>
      </c>
    </row>
    <row r="242" spans="1:20" ht="15">
      <c r="A242" s="15" t="s">
        <v>465</v>
      </c>
      <c r="B242" s="15" t="s">
        <v>41</v>
      </c>
      <c r="C242" s="16">
        <v>45675</v>
      </c>
      <c r="D242" s="15" t="s">
        <v>33</v>
      </c>
      <c r="E242" s="15" t="s">
        <v>34</v>
      </c>
      <c r="F242" s="15">
        <v>4321</v>
      </c>
      <c r="G242" s="15">
        <v>874</v>
      </c>
      <c r="H242" s="15">
        <v>172</v>
      </c>
      <c r="I242" s="15">
        <v>30247</v>
      </c>
      <c r="J242" s="15">
        <v>29254</v>
      </c>
      <c r="K242" s="15">
        <v>122</v>
      </c>
      <c r="L242" s="15" t="s">
        <v>583</v>
      </c>
      <c r="M242" s="15" t="s">
        <v>584</v>
      </c>
      <c r="N242" s="15" t="str">
        <f t="shared" si="9"/>
        <v>MyntraSale,MyntraFashion</v>
      </c>
      <c r="O242" s="15" t="s">
        <v>39</v>
      </c>
      <c r="P242" s="17">
        <f>(Post[[#This Row],[Likes]]+Post[[#This Row],[Shares]]+Post[[#This Row],[Comments]])/Post[[#This Row],[Impressions]]</f>
        <v>0.17743908486792079</v>
      </c>
      <c r="Q242" s="15">
        <f t="shared" si="11"/>
        <v>5367</v>
      </c>
      <c r="R242" s="16">
        <f>_xlfn.XLOOKUP($O242,'Campaign Data '!$A:$A,'Campaign Data '!$B:$B)</f>
        <v>45570</v>
      </c>
      <c r="S242" s="16">
        <f>_xlfn.XLOOKUP($O242,'Campaign Data '!$A:$A,'Campaign Data '!$C:$C)</f>
        <v>45601</v>
      </c>
      <c r="T242" s="15" t="str">
        <f t="shared" si="10"/>
        <v>Before</v>
      </c>
    </row>
    <row r="243" spans="1:20" ht="15">
      <c r="A243" s="15" t="s">
        <v>467</v>
      </c>
      <c r="B243" s="15" t="s">
        <v>41</v>
      </c>
      <c r="C243" s="16">
        <v>45480</v>
      </c>
      <c r="D243" s="15" t="s">
        <v>16</v>
      </c>
      <c r="E243" s="15" t="s">
        <v>17</v>
      </c>
      <c r="F243" s="15">
        <v>4767</v>
      </c>
      <c r="G243" s="15">
        <v>190</v>
      </c>
      <c r="H243" s="15">
        <v>340</v>
      </c>
      <c r="I243" s="15">
        <v>28602</v>
      </c>
      <c r="J243" s="15">
        <v>28044</v>
      </c>
      <c r="K243" s="15">
        <v>210</v>
      </c>
      <c r="L243" s="15" t="s">
        <v>588</v>
      </c>
      <c r="M243" s="15"/>
      <c r="N243" s="15" t="str">
        <f t="shared" si="9"/>
        <v>FashionDeals</v>
      </c>
      <c r="O243" s="15" t="s">
        <v>56</v>
      </c>
      <c r="P243" s="17">
        <f>(Post[[#This Row],[Likes]]+Post[[#This Row],[Shares]]+Post[[#This Row],[Comments]])/Post[[#This Row],[Impressions]]</f>
        <v>0.18519683938186141</v>
      </c>
      <c r="Q243" s="15">
        <f t="shared" si="11"/>
        <v>5297</v>
      </c>
      <c r="R243" s="16">
        <f>_xlfn.XLOOKUP($O243,'Campaign Data '!$A:$A,'Campaign Data '!$B:$B)</f>
        <v>45667</v>
      </c>
      <c r="S243" s="16">
        <f>_xlfn.XLOOKUP($O243,'Campaign Data '!$A:$A,'Campaign Data '!$C:$C)</f>
        <v>45698</v>
      </c>
      <c r="T243" s="15" t="str">
        <f t="shared" si="10"/>
        <v>Before</v>
      </c>
    </row>
    <row r="244" spans="1:20" ht="15">
      <c r="A244" s="15" t="s">
        <v>468</v>
      </c>
      <c r="B244" s="15" t="s">
        <v>14</v>
      </c>
      <c r="C244" s="16">
        <v>45722</v>
      </c>
      <c r="D244" s="15" t="s">
        <v>50</v>
      </c>
      <c r="E244" s="15" t="s">
        <v>51</v>
      </c>
      <c r="F244" s="15">
        <v>3592</v>
      </c>
      <c r="G244" s="15">
        <v>911</v>
      </c>
      <c r="H244" s="15">
        <v>375</v>
      </c>
      <c r="I244" s="15">
        <v>50288</v>
      </c>
      <c r="J244" s="15">
        <v>49490</v>
      </c>
      <c r="K244" s="15">
        <v>32</v>
      </c>
      <c r="L244" s="15" t="s">
        <v>585</v>
      </c>
      <c r="M244" s="15"/>
      <c r="N244" s="15" t="str">
        <f t="shared" si="9"/>
        <v>StyleWithMyntra</v>
      </c>
      <c r="O244" s="15" t="s">
        <v>25</v>
      </c>
      <c r="P244" s="17">
        <f>(Post[[#This Row],[Likes]]+Post[[#This Row],[Shares]]+Post[[#This Row],[Comments]])/Post[[#This Row],[Impressions]]</f>
        <v>9.7001272669424113E-2</v>
      </c>
      <c r="Q244" s="15">
        <f t="shared" si="11"/>
        <v>4878</v>
      </c>
      <c r="R244" s="16">
        <f>_xlfn.XLOOKUP($O244,'Campaign Data '!$A:$A,'Campaign Data '!$B:$B)</f>
        <v>45453</v>
      </c>
      <c r="S244" s="16">
        <f>_xlfn.XLOOKUP($O244,'Campaign Data '!$A:$A,'Campaign Data '!$C:$C)</f>
        <v>45478</v>
      </c>
      <c r="T244" s="15" t="str">
        <f t="shared" si="10"/>
        <v>Before</v>
      </c>
    </row>
    <row r="245" spans="1:20" ht="15">
      <c r="A245" s="15" t="s">
        <v>470</v>
      </c>
      <c r="B245" s="15" t="s">
        <v>27</v>
      </c>
      <c r="C245" s="16">
        <v>45590</v>
      </c>
      <c r="D245" s="15" t="s">
        <v>70</v>
      </c>
      <c r="E245" s="15" t="s">
        <v>71</v>
      </c>
      <c r="F245" s="15">
        <v>4661</v>
      </c>
      <c r="G245" s="15">
        <v>935</v>
      </c>
      <c r="H245" s="15">
        <v>433</v>
      </c>
      <c r="I245" s="15">
        <v>23305</v>
      </c>
      <c r="J245" s="15">
        <v>22583</v>
      </c>
      <c r="K245" s="15">
        <v>63</v>
      </c>
      <c r="L245" s="15" t="s">
        <v>585</v>
      </c>
      <c r="M245" s="15" t="s">
        <v>588</v>
      </c>
      <c r="N245" s="15" t="str">
        <f t="shared" si="9"/>
        <v>StyleWithMyntra,FashionDeals</v>
      </c>
      <c r="O245" s="15" t="s">
        <v>19</v>
      </c>
      <c r="P245" s="17">
        <f>(Post[[#This Row],[Likes]]+Post[[#This Row],[Shares]]+Post[[#This Row],[Comments]])/Post[[#This Row],[Impressions]]</f>
        <v>0.25869984981763572</v>
      </c>
      <c r="Q245" s="15">
        <f t="shared" si="11"/>
        <v>6029</v>
      </c>
      <c r="R245" s="16">
        <f>_xlfn.XLOOKUP($O245,'Campaign Data '!$A:$A,'Campaign Data '!$B:$B)</f>
        <v>45505</v>
      </c>
      <c r="S245" s="16">
        <f>_xlfn.XLOOKUP($O245,'Campaign Data '!$A:$A,'Campaign Data '!$C:$C)</f>
        <v>45535</v>
      </c>
      <c r="T245" s="15" t="str">
        <f t="shared" si="10"/>
        <v>Before</v>
      </c>
    </row>
    <row r="246" spans="1:20" ht="15">
      <c r="A246" s="15" t="s">
        <v>472</v>
      </c>
      <c r="B246" s="15" t="s">
        <v>41</v>
      </c>
      <c r="C246" s="16">
        <v>45669</v>
      </c>
      <c r="D246" s="15" t="s">
        <v>16</v>
      </c>
      <c r="E246" s="15" t="s">
        <v>17</v>
      </c>
      <c r="F246" s="15">
        <v>4134</v>
      </c>
      <c r="G246" s="15">
        <v>824</v>
      </c>
      <c r="H246" s="15">
        <v>99</v>
      </c>
      <c r="I246" s="15">
        <v>41340</v>
      </c>
      <c r="J246" s="15">
        <v>41050</v>
      </c>
      <c r="K246" s="15">
        <v>177</v>
      </c>
      <c r="L246" s="15" t="s">
        <v>584</v>
      </c>
      <c r="M246" s="15"/>
      <c r="N246" s="15" t="str">
        <f t="shared" si="9"/>
        <v>MyntraFashion</v>
      </c>
      <c r="O246" s="15" t="s">
        <v>25</v>
      </c>
      <c r="P246" s="17">
        <f>(Post[[#This Row],[Likes]]+Post[[#This Row],[Shares]]+Post[[#This Row],[Comments]])/Post[[#This Row],[Impressions]]</f>
        <v>0.12232704402515723</v>
      </c>
      <c r="Q246" s="15">
        <f t="shared" si="11"/>
        <v>5057</v>
      </c>
      <c r="R246" s="16">
        <f>_xlfn.XLOOKUP($O246,'Campaign Data '!$A:$A,'Campaign Data '!$B:$B)</f>
        <v>45453</v>
      </c>
      <c r="S246" s="16">
        <f>_xlfn.XLOOKUP($O246,'Campaign Data '!$A:$A,'Campaign Data '!$C:$C)</f>
        <v>45478</v>
      </c>
      <c r="T246" s="15" t="str">
        <f t="shared" si="10"/>
        <v>Before</v>
      </c>
    </row>
    <row r="247" spans="1:20" ht="15">
      <c r="A247" s="15" t="s">
        <v>474</v>
      </c>
      <c r="B247" s="15" t="s">
        <v>41</v>
      </c>
      <c r="C247" s="16">
        <v>45576</v>
      </c>
      <c r="D247" s="15" t="s">
        <v>50</v>
      </c>
      <c r="E247" s="15" t="s">
        <v>51</v>
      </c>
      <c r="F247" s="15">
        <v>400</v>
      </c>
      <c r="G247" s="15">
        <v>680</v>
      </c>
      <c r="H247" s="15">
        <v>434</v>
      </c>
      <c r="I247" s="15">
        <v>6400</v>
      </c>
      <c r="J247" s="15">
        <v>5472</v>
      </c>
      <c r="K247" s="15">
        <v>160</v>
      </c>
      <c r="L247" s="15" t="s">
        <v>583</v>
      </c>
      <c r="M247" s="15" t="s">
        <v>586</v>
      </c>
      <c r="N247" s="15" t="str">
        <f t="shared" si="9"/>
        <v>MyntraSale,MyntraTrend</v>
      </c>
      <c r="O247" s="15" t="s">
        <v>25</v>
      </c>
      <c r="P247" s="17">
        <f>(Post[[#This Row],[Likes]]+Post[[#This Row],[Shares]]+Post[[#This Row],[Comments]])/Post[[#This Row],[Impressions]]</f>
        <v>0.23656250000000001</v>
      </c>
      <c r="Q247" s="15">
        <f t="shared" si="11"/>
        <v>1514</v>
      </c>
      <c r="R247" s="16">
        <f>_xlfn.XLOOKUP($O247,'Campaign Data '!$A:$A,'Campaign Data '!$B:$B)</f>
        <v>45453</v>
      </c>
      <c r="S247" s="16">
        <f>_xlfn.XLOOKUP($O247,'Campaign Data '!$A:$A,'Campaign Data '!$C:$C)</f>
        <v>45478</v>
      </c>
      <c r="T247" s="15" t="str">
        <f t="shared" si="10"/>
        <v>Before</v>
      </c>
    </row>
    <row r="248" spans="1:20" ht="15">
      <c r="A248" s="15" t="s">
        <v>476</v>
      </c>
      <c r="B248" s="15" t="s">
        <v>41</v>
      </c>
      <c r="C248" s="16">
        <v>45531</v>
      </c>
      <c r="D248" s="15" t="s">
        <v>16</v>
      </c>
      <c r="E248" s="15" t="s">
        <v>17</v>
      </c>
      <c r="F248" s="15">
        <v>3960</v>
      </c>
      <c r="G248" s="15">
        <v>266</v>
      </c>
      <c r="H248" s="15">
        <v>8</v>
      </c>
      <c r="I248" s="15">
        <v>35640</v>
      </c>
      <c r="J248" s="15">
        <v>34850</v>
      </c>
      <c r="K248" s="15">
        <v>208</v>
      </c>
      <c r="L248" s="15" t="s">
        <v>586</v>
      </c>
      <c r="M248" s="15" t="s">
        <v>584</v>
      </c>
      <c r="N248" s="15" t="str">
        <f t="shared" si="9"/>
        <v>MyntraTrend,MyntraFashion</v>
      </c>
      <c r="O248" s="15" t="s">
        <v>56</v>
      </c>
      <c r="P248" s="17">
        <f>(Post[[#This Row],[Likes]]+Post[[#This Row],[Shares]]+Post[[#This Row],[Comments]])/Post[[#This Row],[Impressions]]</f>
        <v>0.11879910213243547</v>
      </c>
      <c r="Q248" s="15">
        <f t="shared" si="11"/>
        <v>4234</v>
      </c>
      <c r="R248" s="16">
        <f>_xlfn.XLOOKUP($O248,'Campaign Data '!$A:$A,'Campaign Data '!$B:$B)</f>
        <v>45667</v>
      </c>
      <c r="S248" s="16">
        <f>_xlfn.XLOOKUP($O248,'Campaign Data '!$A:$A,'Campaign Data '!$C:$C)</f>
        <v>45698</v>
      </c>
      <c r="T248" s="15" t="str">
        <f t="shared" si="10"/>
        <v>Before</v>
      </c>
    </row>
    <row r="249" spans="1:20" ht="15">
      <c r="A249" s="15" t="s">
        <v>478</v>
      </c>
      <c r="B249" s="15" t="s">
        <v>41</v>
      </c>
      <c r="C249" s="16">
        <v>45690</v>
      </c>
      <c r="D249" s="15" t="s">
        <v>33</v>
      </c>
      <c r="E249" s="15" t="s">
        <v>34</v>
      </c>
      <c r="F249" s="15">
        <v>886</v>
      </c>
      <c r="G249" s="15">
        <v>126</v>
      </c>
      <c r="H249" s="15">
        <v>153</v>
      </c>
      <c r="I249" s="15">
        <v>4430</v>
      </c>
      <c r="J249" s="15">
        <v>4037</v>
      </c>
      <c r="K249" s="15">
        <v>212</v>
      </c>
      <c r="L249" s="15" t="s">
        <v>583</v>
      </c>
      <c r="M249" s="15"/>
      <c r="N249" s="15" t="str">
        <f t="shared" si="9"/>
        <v>MyntraSale</v>
      </c>
      <c r="O249" s="15" t="s">
        <v>39</v>
      </c>
      <c r="P249" s="17">
        <f>(Post[[#This Row],[Likes]]+Post[[#This Row],[Shares]]+Post[[#This Row],[Comments]])/Post[[#This Row],[Impressions]]</f>
        <v>0.26297968397291194</v>
      </c>
      <c r="Q249" s="15">
        <f t="shared" si="11"/>
        <v>1165</v>
      </c>
      <c r="R249" s="16">
        <f>_xlfn.XLOOKUP($O249,'Campaign Data '!$A:$A,'Campaign Data '!$B:$B)</f>
        <v>45570</v>
      </c>
      <c r="S249" s="16">
        <f>_xlfn.XLOOKUP($O249,'Campaign Data '!$A:$A,'Campaign Data '!$C:$C)</f>
        <v>45601</v>
      </c>
      <c r="T249" s="15" t="str">
        <f t="shared" si="10"/>
        <v>Before</v>
      </c>
    </row>
    <row r="250" spans="1:20" ht="15">
      <c r="A250" s="15" t="s">
        <v>479</v>
      </c>
      <c r="B250" s="15" t="s">
        <v>14</v>
      </c>
      <c r="C250" s="16">
        <v>45491</v>
      </c>
      <c r="D250" s="15" t="s">
        <v>50</v>
      </c>
      <c r="E250" s="15" t="s">
        <v>51</v>
      </c>
      <c r="F250" s="15">
        <v>827</v>
      </c>
      <c r="G250" s="15">
        <v>77</v>
      </c>
      <c r="H250" s="15">
        <v>402</v>
      </c>
      <c r="I250" s="15">
        <v>14886</v>
      </c>
      <c r="J250" s="15">
        <v>14129</v>
      </c>
      <c r="K250" s="15">
        <v>254</v>
      </c>
      <c r="L250" s="15" t="s">
        <v>585</v>
      </c>
      <c r="M250" s="15"/>
      <c r="N250" s="15" t="str">
        <f t="shared" si="9"/>
        <v>StyleWithMyntra</v>
      </c>
      <c r="O250" s="15" t="s">
        <v>25</v>
      </c>
      <c r="P250" s="17">
        <f>(Post[[#This Row],[Likes]]+Post[[#This Row],[Shares]]+Post[[#This Row],[Comments]])/Post[[#This Row],[Impressions]]</f>
        <v>8.7733440816874911E-2</v>
      </c>
      <c r="Q250" s="15">
        <f t="shared" si="11"/>
        <v>1306</v>
      </c>
      <c r="R250" s="16">
        <f>_xlfn.XLOOKUP($O250,'Campaign Data '!$A:$A,'Campaign Data '!$B:$B)</f>
        <v>45453</v>
      </c>
      <c r="S250" s="16">
        <f>_xlfn.XLOOKUP($O250,'Campaign Data '!$A:$A,'Campaign Data '!$C:$C)</f>
        <v>45478</v>
      </c>
      <c r="T250" s="15" t="str">
        <f t="shared" si="10"/>
        <v>Before</v>
      </c>
    </row>
    <row r="251" spans="1:20" ht="15">
      <c r="A251" s="15" t="s">
        <v>480</v>
      </c>
      <c r="B251" s="15" t="s">
        <v>41</v>
      </c>
      <c r="C251" s="16">
        <v>45465</v>
      </c>
      <c r="D251" s="15" t="s">
        <v>16</v>
      </c>
      <c r="E251" s="15" t="s">
        <v>17</v>
      </c>
      <c r="F251" s="15">
        <v>3813</v>
      </c>
      <c r="G251" s="15">
        <v>935</v>
      </c>
      <c r="H251" s="15">
        <v>274</v>
      </c>
      <c r="I251" s="15">
        <v>68634</v>
      </c>
      <c r="J251" s="15">
        <v>68488</v>
      </c>
      <c r="K251" s="15">
        <v>251</v>
      </c>
      <c r="L251" s="15" t="s">
        <v>588</v>
      </c>
      <c r="M251" s="15" t="s">
        <v>586</v>
      </c>
      <c r="N251" s="15" t="str">
        <f t="shared" si="9"/>
        <v>FashionDeals,MyntraTrend</v>
      </c>
      <c r="O251" s="15" t="s">
        <v>19</v>
      </c>
      <c r="P251" s="17">
        <f>(Post[[#This Row],[Likes]]+Post[[#This Row],[Shares]]+Post[[#This Row],[Comments]])/Post[[#This Row],[Impressions]]</f>
        <v>7.3170731707317069E-2</v>
      </c>
      <c r="Q251" s="15">
        <f t="shared" si="11"/>
        <v>5022</v>
      </c>
      <c r="R251" s="16">
        <f>_xlfn.XLOOKUP($O251,'Campaign Data '!$A:$A,'Campaign Data '!$B:$B)</f>
        <v>45505</v>
      </c>
      <c r="S251" s="16">
        <f>_xlfn.XLOOKUP($O251,'Campaign Data '!$A:$A,'Campaign Data '!$C:$C)</f>
        <v>45535</v>
      </c>
      <c r="T251" s="15" t="str">
        <f t="shared" si="10"/>
        <v>Before</v>
      </c>
    </row>
    <row r="252" spans="1:20" ht="15">
      <c r="A252" s="15" t="s">
        <v>481</v>
      </c>
      <c r="B252" s="15" t="s">
        <v>31</v>
      </c>
      <c r="C252" s="16">
        <v>45743</v>
      </c>
      <c r="D252" s="15" t="s">
        <v>43</v>
      </c>
      <c r="E252" s="15" t="s">
        <v>44</v>
      </c>
      <c r="F252" s="15">
        <v>1377</v>
      </c>
      <c r="G252" s="15">
        <v>796</v>
      </c>
      <c r="H252" s="15">
        <v>387</v>
      </c>
      <c r="I252" s="15">
        <v>22032</v>
      </c>
      <c r="J252" s="15">
        <v>21869</v>
      </c>
      <c r="K252" s="15">
        <v>189</v>
      </c>
      <c r="L252" s="15" t="s">
        <v>588</v>
      </c>
      <c r="M252" s="15" t="s">
        <v>584</v>
      </c>
      <c r="N252" s="15" t="str">
        <f t="shared" si="9"/>
        <v>FashionDeals,MyntraFashion</v>
      </c>
      <c r="O252" s="15" t="s">
        <v>39</v>
      </c>
      <c r="P252" s="17">
        <f>(Post[[#This Row],[Likes]]+Post[[#This Row],[Shares]]+Post[[#This Row],[Comments]])/Post[[#This Row],[Impressions]]</f>
        <v>0.11619462599854757</v>
      </c>
      <c r="Q252" s="15">
        <f t="shared" si="11"/>
        <v>2560</v>
      </c>
      <c r="R252" s="16">
        <f>_xlfn.XLOOKUP($O252,'Campaign Data '!$A:$A,'Campaign Data '!$B:$B)</f>
        <v>45570</v>
      </c>
      <c r="S252" s="16">
        <f>_xlfn.XLOOKUP($O252,'Campaign Data '!$A:$A,'Campaign Data '!$C:$C)</f>
        <v>45601</v>
      </c>
      <c r="T252" s="15" t="str">
        <f t="shared" si="10"/>
        <v>Before</v>
      </c>
    </row>
    <row r="253" spans="1:20" ht="15">
      <c r="A253" s="15" t="s">
        <v>483</v>
      </c>
      <c r="B253" s="15" t="s">
        <v>41</v>
      </c>
      <c r="C253" s="16">
        <v>45775</v>
      </c>
      <c r="D253" s="15" t="s">
        <v>43</v>
      </c>
      <c r="E253" s="15" t="s">
        <v>44</v>
      </c>
      <c r="F253" s="15">
        <v>2089</v>
      </c>
      <c r="G253" s="15">
        <v>476</v>
      </c>
      <c r="H253" s="15">
        <v>69</v>
      </c>
      <c r="I253" s="15">
        <v>16712</v>
      </c>
      <c r="J253" s="15">
        <v>16309</v>
      </c>
      <c r="K253" s="15">
        <v>64</v>
      </c>
      <c r="L253" s="15" t="s">
        <v>585</v>
      </c>
      <c r="M253" s="15" t="s">
        <v>583</v>
      </c>
      <c r="N253" s="15" t="str">
        <f t="shared" si="9"/>
        <v>StyleWithMyntra,MyntraSale</v>
      </c>
      <c r="O253" s="15" t="s">
        <v>19</v>
      </c>
      <c r="P253" s="17">
        <f>(Post[[#This Row],[Likes]]+Post[[#This Row],[Shares]]+Post[[#This Row],[Comments]])/Post[[#This Row],[Impressions]]</f>
        <v>0.15761129727142173</v>
      </c>
      <c r="Q253" s="15">
        <f t="shared" si="11"/>
        <v>2634</v>
      </c>
      <c r="R253" s="16">
        <f>_xlfn.XLOOKUP($O253,'Campaign Data '!$A:$A,'Campaign Data '!$B:$B)</f>
        <v>45505</v>
      </c>
      <c r="S253" s="16">
        <f>_xlfn.XLOOKUP($O253,'Campaign Data '!$A:$A,'Campaign Data '!$C:$C)</f>
        <v>45535</v>
      </c>
      <c r="T253" s="15" t="str">
        <f t="shared" si="10"/>
        <v>Before</v>
      </c>
    </row>
    <row r="254" spans="1:20" ht="15">
      <c r="A254" s="15" t="s">
        <v>484</v>
      </c>
      <c r="B254" s="15" t="s">
        <v>14</v>
      </c>
      <c r="C254" s="16">
        <v>45507</v>
      </c>
      <c r="D254" s="15" t="s">
        <v>16</v>
      </c>
      <c r="E254" s="15" t="s">
        <v>17</v>
      </c>
      <c r="F254" s="15">
        <v>3791</v>
      </c>
      <c r="G254" s="15">
        <v>593</v>
      </c>
      <c r="H254" s="15">
        <v>228</v>
      </c>
      <c r="I254" s="15">
        <v>53074</v>
      </c>
      <c r="J254" s="15">
        <v>52613</v>
      </c>
      <c r="K254" s="15">
        <v>205</v>
      </c>
      <c r="L254" s="15" t="s">
        <v>585</v>
      </c>
      <c r="M254" s="15" t="s">
        <v>588</v>
      </c>
      <c r="N254" s="15" t="str">
        <f t="shared" si="9"/>
        <v>StyleWithMyntra,FashionDeals</v>
      </c>
      <c r="O254" s="15" t="s">
        <v>19</v>
      </c>
      <c r="P254" s="17">
        <f>(Post[[#This Row],[Likes]]+Post[[#This Row],[Shares]]+Post[[#This Row],[Comments]])/Post[[#This Row],[Impressions]]</f>
        <v>8.6897539284772202E-2</v>
      </c>
      <c r="Q254" s="15">
        <f t="shared" si="11"/>
        <v>4612</v>
      </c>
      <c r="R254" s="16">
        <f>_xlfn.XLOOKUP($O254,'Campaign Data '!$A:$A,'Campaign Data '!$B:$B)</f>
        <v>45505</v>
      </c>
      <c r="S254" s="16">
        <f>_xlfn.XLOOKUP($O254,'Campaign Data '!$A:$A,'Campaign Data '!$C:$C)</f>
        <v>45535</v>
      </c>
      <c r="T254" s="15" t="str">
        <f t="shared" si="10"/>
        <v>During</v>
      </c>
    </row>
    <row r="255" spans="1:20" ht="15">
      <c r="A255" s="15" t="s">
        <v>486</v>
      </c>
      <c r="B255" s="15" t="s">
        <v>14</v>
      </c>
      <c r="C255" s="16">
        <v>45671</v>
      </c>
      <c r="D255" s="15" t="s">
        <v>50</v>
      </c>
      <c r="E255" s="15" t="s">
        <v>51</v>
      </c>
      <c r="F255" s="15">
        <v>2692</v>
      </c>
      <c r="G255" s="15">
        <v>115</v>
      </c>
      <c r="H255" s="15">
        <v>64</v>
      </c>
      <c r="I255" s="15">
        <v>21536</v>
      </c>
      <c r="J255" s="15">
        <v>21120</v>
      </c>
      <c r="K255" s="15">
        <v>224</v>
      </c>
      <c r="L255" s="15" t="s">
        <v>588</v>
      </c>
      <c r="M255" s="15" t="s">
        <v>586</v>
      </c>
      <c r="N255" s="15" t="str">
        <f t="shared" si="9"/>
        <v>FashionDeals,MyntraTrend</v>
      </c>
      <c r="O255" s="15" t="s">
        <v>56</v>
      </c>
      <c r="P255" s="17">
        <f>(Post[[#This Row],[Likes]]+Post[[#This Row],[Shares]]+Post[[#This Row],[Comments]])/Post[[#This Row],[Impressions]]</f>
        <v>0.13331166419019316</v>
      </c>
      <c r="Q255" s="15">
        <f t="shared" si="11"/>
        <v>2871</v>
      </c>
      <c r="R255" s="16">
        <f>_xlfn.XLOOKUP($O255,'Campaign Data '!$A:$A,'Campaign Data '!$B:$B)</f>
        <v>45667</v>
      </c>
      <c r="S255" s="16">
        <f>_xlfn.XLOOKUP($O255,'Campaign Data '!$A:$A,'Campaign Data '!$C:$C)</f>
        <v>45698</v>
      </c>
      <c r="T255" s="15" t="str">
        <f t="shared" si="10"/>
        <v>During</v>
      </c>
    </row>
    <row r="256" spans="1:20" ht="15">
      <c r="A256" s="15" t="s">
        <v>488</v>
      </c>
      <c r="B256" s="15" t="s">
        <v>41</v>
      </c>
      <c r="C256" s="16">
        <v>45750</v>
      </c>
      <c r="D256" s="15" t="s">
        <v>33</v>
      </c>
      <c r="E256" s="15" t="s">
        <v>34</v>
      </c>
      <c r="F256" s="15">
        <v>3767</v>
      </c>
      <c r="G256" s="15">
        <v>514</v>
      </c>
      <c r="H256" s="15">
        <v>238</v>
      </c>
      <c r="I256" s="15">
        <v>37670</v>
      </c>
      <c r="J256" s="15">
        <v>36807</v>
      </c>
      <c r="K256" s="15">
        <v>226</v>
      </c>
      <c r="L256" s="15" t="s">
        <v>585</v>
      </c>
      <c r="M256" s="15" t="s">
        <v>588</v>
      </c>
      <c r="N256" s="15" t="str">
        <f t="shared" si="9"/>
        <v>StyleWithMyntra,FashionDeals</v>
      </c>
      <c r="O256" s="15" t="s">
        <v>19</v>
      </c>
      <c r="P256" s="17">
        <f>(Post[[#This Row],[Likes]]+Post[[#This Row],[Shares]]+Post[[#This Row],[Comments]])/Post[[#This Row],[Impressions]]</f>
        <v>0.11996283514733209</v>
      </c>
      <c r="Q256" s="15">
        <f t="shared" si="11"/>
        <v>4519</v>
      </c>
      <c r="R256" s="16">
        <f>_xlfn.XLOOKUP($O256,'Campaign Data '!$A:$A,'Campaign Data '!$B:$B)</f>
        <v>45505</v>
      </c>
      <c r="S256" s="16">
        <f>_xlfn.XLOOKUP($O256,'Campaign Data '!$A:$A,'Campaign Data '!$C:$C)</f>
        <v>45535</v>
      </c>
      <c r="T256" s="15" t="str">
        <f t="shared" si="10"/>
        <v>Before</v>
      </c>
    </row>
    <row r="257" spans="1:20" ht="15">
      <c r="A257" s="15" t="s">
        <v>489</v>
      </c>
      <c r="B257" s="15" t="s">
        <v>27</v>
      </c>
      <c r="C257" s="16">
        <v>45553</v>
      </c>
      <c r="D257" s="15" t="s">
        <v>43</v>
      </c>
      <c r="E257" s="15" t="s">
        <v>44</v>
      </c>
      <c r="F257" s="15">
        <v>2143</v>
      </c>
      <c r="G257" s="15">
        <v>12</v>
      </c>
      <c r="H257" s="15">
        <v>204</v>
      </c>
      <c r="I257" s="15">
        <v>40717</v>
      </c>
      <c r="J257" s="15">
        <v>40125</v>
      </c>
      <c r="K257" s="15">
        <v>248</v>
      </c>
      <c r="L257" s="15" t="s">
        <v>588</v>
      </c>
      <c r="M257" s="15" t="s">
        <v>583</v>
      </c>
      <c r="N257" s="15" t="str">
        <f t="shared" si="9"/>
        <v>FashionDeals,MyntraSale</v>
      </c>
      <c r="O257" s="15" t="s">
        <v>56</v>
      </c>
      <c r="P257" s="17">
        <f>(Post[[#This Row],[Likes]]+Post[[#This Row],[Shares]]+Post[[#This Row],[Comments]])/Post[[#This Row],[Impressions]]</f>
        <v>5.7936488444630008E-2</v>
      </c>
      <c r="Q257" s="15">
        <f t="shared" si="11"/>
        <v>2359</v>
      </c>
      <c r="R257" s="16">
        <f>_xlfn.XLOOKUP($O257,'Campaign Data '!$A:$A,'Campaign Data '!$B:$B)</f>
        <v>45667</v>
      </c>
      <c r="S257" s="16">
        <f>_xlfn.XLOOKUP($O257,'Campaign Data '!$A:$A,'Campaign Data '!$C:$C)</f>
        <v>45698</v>
      </c>
      <c r="T257" s="15" t="str">
        <f t="shared" si="10"/>
        <v>Before</v>
      </c>
    </row>
    <row r="258" spans="1:20" ht="15">
      <c r="A258" s="15" t="s">
        <v>490</v>
      </c>
      <c r="B258" s="15" t="s">
        <v>41</v>
      </c>
      <c r="C258" s="16">
        <v>45753</v>
      </c>
      <c r="D258" s="15" t="s">
        <v>50</v>
      </c>
      <c r="E258" s="15" t="s">
        <v>51</v>
      </c>
      <c r="F258" s="15">
        <v>3090</v>
      </c>
      <c r="G258" s="15">
        <v>697</v>
      </c>
      <c r="H258" s="15">
        <v>164</v>
      </c>
      <c r="I258" s="15">
        <v>49440</v>
      </c>
      <c r="J258" s="15">
        <v>48524</v>
      </c>
      <c r="K258" s="15">
        <v>25</v>
      </c>
      <c r="L258" s="15" t="s">
        <v>588</v>
      </c>
      <c r="M258" s="15" t="s">
        <v>585</v>
      </c>
      <c r="N258" s="15" t="str">
        <f t="shared" ref="N258:N301" si="12">_xlfn.TEXTJOIN(",",TRUE,L258,M258)</f>
        <v>FashionDeals,StyleWithMyntra</v>
      </c>
      <c r="O258" s="15" t="s">
        <v>56</v>
      </c>
      <c r="P258" s="17">
        <f>(Post[[#This Row],[Likes]]+Post[[#This Row],[Shares]]+Post[[#This Row],[Comments]])/Post[[#This Row],[Impressions]]</f>
        <v>7.9915048543689318E-2</v>
      </c>
      <c r="Q258" s="15">
        <f t="shared" si="11"/>
        <v>3951</v>
      </c>
      <c r="R258" s="16">
        <f>_xlfn.XLOOKUP($O258,'Campaign Data '!$A:$A,'Campaign Data '!$B:$B)</f>
        <v>45667</v>
      </c>
      <c r="S258" s="16">
        <f>_xlfn.XLOOKUP($O258,'Campaign Data '!$A:$A,'Campaign Data '!$C:$C)</f>
        <v>45698</v>
      </c>
      <c r="T258" s="15" t="str">
        <f t="shared" ref="T258:T301" si="13">+IF(AND($C258&gt;=$R258,$C258&lt;=$S258),"During","Before")</f>
        <v>Before</v>
      </c>
    </row>
    <row r="259" spans="1:20" ht="15">
      <c r="A259" s="15" t="s">
        <v>491</v>
      </c>
      <c r="B259" s="15" t="s">
        <v>31</v>
      </c>
      <c r="C259" s="16">
        <v>45509</v>
      </c>
      <c r="D259" s="15" t="s">
        <v>33</v>
      </c>
      <c r="E259" s="15" t="s">
        <v>34</v>
      </c>
      <c r="F259" s="15">
        <v>3601</v>
      </c>
      <c r="G259" s="15">
        <v>695</v>
      </c>
      <c r="H259" s="15">
        <v>75</v>
      </c>
      <c r="I259" s="15">
        <v>21606</v>
      </c>
      <c r="J259" s="15">
        <v>21454</v>
      </c>
      <c r="K259" s="15">
        <v>172</v>
      </c>
      <c r="L259" s="15" t="s">
        <v>585</v>
      </c>
      <c r="M259" s="15"/>
      <c r="N259" s="15" t="str">
        <f t="shared" si="12"/>
        <v>StyleWithMyntra</v>
      </c>
      <c r="O259" s="15" t="s">
        <v>25</v>
      </c>
      <c r="P259" s="17">
        <f>(Post[[#This Row],[Likes]]+Post[[#This Row],[Shares]]+Post[[#This Row],[Comments]])/Post[[#This Row],[Impressions]]</f>
        <v>0.2023049153013052</v>
      </c>
      <c r="Q259" s="15">
        <f t="shared" ref="Q259:Q301" si="14">F259+G259+H259</f>
        <v>4371</v>
      </c>
      <c r="R259" s="16">
        <f>_xlfn.XLOOKUP($O259,'Campaign Data '!$A:$A,'Campaign Data '!$B:$B)</f>
        <v>45453</v>
      </c>
      <c r="S259" s="16">
        <f>_xlfn.XLOOKUP($O259,'Campaign Data '!$A:$A,'Campaign Data '!$C:$C)</f>
        <v>45478</v>
      </c>
      <c r="T259" s="15" t="str">
        <f t="shared" si="13"/>
        <v>Before</v>
      </c>
    </row>
    <row r="260" spans="1:20" ht="15">
      <c r="A260" s="15" t="s">
        <v>493</v>
      </c>
      <c r="B260" s="15" t="s">
        <v>41</v>
      </c>
      <c r="C260" s="16">
        <v>45698</v>
      </c>
      <c r="D260" s="15" t="s">
        <v>22</v>
      </c>
      <c r="E260" s="15" t="s">
        <v>23</v>
      </c>
      <c r="F260" s="15">
        <v>562</v>
      </c>
      <c r="G260" s="15">
        <v>158</v>
      </c>
      <c r="H260" s="15">
        <v>149</v>
      </c>
      <c r="I260" s="15">
        <v>3372</v>
      </c>
      <c r="J260" s="15">
        <v>2940</v>
      </c>
      <c r="K260" s="15">
        <v>93</v>
      </c>
      <c r="L260" s="15" t="s">
        <v>588</v>
      </c>
      <c r="M260" s="15" t="s">
        <v>583</v>
      </c>
      <c r="N260" s="15" t="str">
        <f t="shared" si="12"/>
        <v>FashionDeals,MyntraSale</v>
      </c>
      <c r="O260" s="15" t="s">
        <v>56</v>
      </c>
      <c r="P260" s="17">
        <f>(Post[[#This Row],[Likes]]+Post[[#This Row],[Shares]]+Post[[#This Row],[Comments]])/Post[[#This Row],[Impressions]]</f>
        <v>0.25771055753262156</v>
      </c>
      <c r="Q260" s="15">
        <f t="shared" si="14"/>
        <v>869</v>
      </c>
      <c r="R260" s="16">
        <f>_xlfn.XLOOKUP($O260,'Campaign Data '!$A:$A,'Campaign Data '!$B:$B)</f>
        <v>45667</v>
      </c>
      <c r="S260" s="16">
        <f>_xlfn.XLOOKUP($O260,'Campaign Data '!$A:$A,'Campaign Data '!$C:$C)</f>
        <v>45698</v>
      </c>
      <c r="T260" s="15" t="str">
        <f t="shared" si="13"/>
        <v>During</v>
      </c>
    </row>
    <row r="261" spans="1:20" ht="15">
      <c r="A261" s="15" t="s">
        <v>494</v>
      </c>
      <c r="B261" s="15" t="s">
        <v>31</v>
      </c>
      <c r="C261" s="16">
        <v>45700</v>
      </c>
      <c r="D261" s="15" t="s">
        <v>33</v>
      </c>
      <c r="E261" s="15" t="s">
        <v>34</v>
      </c>
      <c r="F261" s="15">
        <v>4332</v>
      </c>
      <c r="G261" s="15">
        <v>771</v>
      </c>
      <c r="H261" s="15">
        <v>219</v>
      </c>
      <c r="I261" s="15">
        <v>60648</v>
      </c>
      <c r="J261" s="15">
        <v>60397</v>
      </c>
      <c r="K261" s="15">
        <v>10</v>
      </c>
      <c r="L261" s="15" t="s">
        <v>584</v>
      </c>
      <c r="M261" s="15"/>
      <c r="N261" s="15" t="str">
        <f t="shared" si="12"/>
        <v>MyntraFashion</v>
      </c>
      <c r="O261" s="15" t="s">
        <v>39</v>
      </c>
      <c r="P261" s="17">
        <f>(Post[[#This Row],[Likes]]+Post[[#This Row],[Shares]]+Post[[#This Row],[Comments]])/Post[[#This Row],[Impressions]]</f>
        <v>8.7752275425405618E-2</v>
      </c>
      <c r="Q261" s="15">
        <f t="shared" si="14"/>
        <v>5322</v>
      </c>
      <c r="R261" s="16">
        <f>_xlfn.XLOOKUP($O261,'Campaign Data '!$A:$A,'Campaign Data '!$B:$B)</f>
        <v>45570</v>
      </c>
      <c r="S261" s="16">
        <f>_xlfn.XLOOKUP($O261,'Campaign Data '!$A:$A,'Campaign Data '!$C:$C)</f>
        <v>45601</v>
      </c>
      <c r="T261" s="15" t="str">
        <f t="shared" si="13"/>
        <v>Before</v>
      </c>
    </row>
    <row r="262" spans="1:20" ht="15">
      <c r="A262" s="15" t="s">
        <v>496</v>
      </c>
      <c r="B262" s="15" t="s">
        <v>31</v>
      </c>
      <c r="C262" s="16">
        <v>45592</v>
      </c>
      <c r="D262" s="15" t="s">
        <v>50</v>
      </c>
      <c r="E262" s="15" t="s">
        <v>51</v>
      </c>
      <c r="F262" s="15">
        <v>4853</v>
      </c>
      <c r="G262" s="15">
        <v>837</v>
      </c>
      <c r="H262" s="15">
        <v>340</v>
      </c>
      <c r="I262" s="15">
        <v>72795</v>
      </c>
      <c r="J262" s="15">
        <v>72237</v>
      </c>
      <c r="K262" s="15">
        <v>170</v>
      </c>
      <c r="L262" s="15" t="s">
        <v>583</v>
      </c>
      <c r="M262" s="15"/>
      <c r="N262" s="15" t="str">
        <f t="shared" si="12"/>
        <v>MyntraSale</v>
      </c>
      <c r="O262" s="15" t="s">
        <v>25</v>
      </c>
      <c r="P262" s="17">
        <f>(Post[[#This Row],[Likes]]+Post[[#This Row],[Shares]]+Post[[#This Row],[Comments]])/Post[[#This Row],[Impressions]]</f>
        <v>8.2835359571399134E-2</v>
      </c>
      <c r="Q262" s="15">
        <f t="shared" si="14"/>
        <v>6030</v>
      </c>
      <c r="R262" s="16">
        <f>_xlfn.XLOOKUP($O262,'Campaign Data '!$A:$A,'Campaign Data '!$B:$B)</f>
        <v>45453</v>
      </c>
      <c r="S262" s="16">
        <f>_xlfn.XLOOKUP($O262,'Campaign Data '!$A:$A,'Campaign Data '!$C:$C)</f>
        <v>45478</v>
      </c>
      <c r="T262" s="15" t="str">
        <f t="shared" si="13"/>
        <v>Before</v>
      </c>
    </row>
    <row r="263" spans="1:20" ht="15">
      <c r="A263" s="15" t="s">
        <v>498</v>
      </c>
      <c r="B263" s="15" t="s">
        <v>27</v>
      </c>
      <c r="C263" s="16">
        <v>45675</v>
      </c>
      <c r="D263" s="15" t="s">
        <v>50</v>
      </c>
      <c r="E263" s="15" t="s">
        <v>51</v>
      </c>
      <c r="F263" s="15">
        <v>1206</v>
      </c>
      <c r="G263" s="15">
        <v>238</v>
      </c>
      <c r="H263" s="15">
        <v>36</v>
      </c>
      <c r="I263" s="15">
        <v>9648</v>
      </c>
      <c r="J263" s="15">
        <v>9417</v>
      </c>
      <c r="K263" s="15">
        <v>237</v>
      </c>
      <c r="L263" s="15" t="s">
        <v>583</v>
      </c>
      <c r="M263" s="15" t="s">
        <v>585</v>
      </c>
      <c r="N263" s="15" t="str">
        <f t="shared" si="12"/>
        <v>MyntraSale,StyleWithMyntra</v>
      </c>
      <c r="O263" s="15" t="s">
        <v>39</v>
      </c>
      <c r="P263" s="17">
        <f>(Post[[#This Row],[Likes]]+Post[[#This Row],[Shares]]+Post[[#This Row],[Comments]])/Post[[#This Row],[Impressions]]</f>
        <v>0.15339966832504145</v>
      </c>
      <c r="Q263" s="15">
        <f t="shared" si="14"/>
        <v>1480</v>
      </c>
      <c r="R263" s="16">
        <f>_xlfn.XLOOKUP($O263,'Campaign Data '!$A:$A,'Campaign Data '!$B:$B)</f>
        <v>45570</v>
      </c>
      <c r="S263" s="16">
        <f>_xlfn.XLOOKUP($O263,'Campaign Data '!$A:$A,'Campaign Data '!$C:$C)</f>
        <v>45601</v>
      </c>
      <c r="T263" s="15" t="str">
        <f t="shared" si="13"/>
        <v>Before</v>
      </c>
    </row>
    <row r="264" spans="1:20" ht="15">
      <c r="A264" s="15" t="s">
        <v>499</v>
      </c>
      <c r="B264" s="15" t="s">
        <v>31</v>
      </c>
      <c r="C264" s="16">
        <v>45524</v>
      </c>
      <c r="D264" s="15" t="s">
        <v>16</v>
      </c>
      <c r="E264" s="15" t="s">
        <v>17</v>
      </c>
      <c r="F264" s="15">
        <v>2603</v>
      </c>
      <c r="G264" s="15">
        <v>690</v>
      </c>
      <c r="H264" s="15">
        <v>205</v>
      </c>
      <c r="I264" s="15">
        <v>13015</v>
      </c>
      <c r="J264" s="15">
        <v>12130</v>
      </c>
      <c r="K264" s="15">
        <v>20</v>
      </c>
      <c r="L264" s="15" t="s">
        <v>586</v>
      </c>
      <c r="M264" s="15"/>
      <c r="N264" s="15" t="str">
        <f t="shared" si="12"/>
        <v>MyntraTrend</v>
      </c>
      <c r="O264" s="15" t="s">
        <v>19</v>
      </c>
      <c r="P264" s="17">
        <f>(Post[[#This Row],[Likes]]+Post[[#This Row],[Shares]]+Post[[#This Row],[Comments]])/Post[[#This Row],[Impressions]]</f>
        <v>0.26876680752977333</v>
      </c>
      <c r="Q264" s="15">
        <f t="shared" si="14"/>
        <v>3498</v>
      </c>
      <c r="R264" s="16">
        <f>_xlfn.XLOOKUP($O264,'Campaign Data '!$A:$A,'Campaign Data '!$B:$B)</f>
        <v>45505</v>
      </c>
      <c r="S264" s="16">
        <f>_xlfn.XLOOKUP($O264,'Campaign Data '!$A:$A,'Campaign Data '!$C:$C)</f>
        <v>45535</v>
      </c>
      <c r="T264" s="15" t="str">
        <f t="shared" si="13"/>
        <v>During</v>
      </c>
    </row>
    <row r="265" spans="1:20" ht="15">
      <c r="A265" s="15" t="s">
        <v>501</v>
      </c>
      <c r="B265" s="15" t="s">
        <v>14</v>
      </c>
      <c r="C265" s="16">
        <v>45687</v>
      </c>
      <c r="D265" s="15" t="s">
        <v>50</v>
      </c>
      <c r="E265" s="15" t="s">
        <v>51</v>
      </c>
      <c r="F265" s="15">
        <v>59</v>
      </c>
      <c r="G265" s="15">
        <v>163</v>
      </c>
      <c r="H265" s="15">
        <v>93</v>
      </c>
      <c r="I265" s="15">
        <v>590</v>
      </c>
      <c r="J265" s="15">
        <v>475</v>
      </c>
      <c r="K265" s="15">
        <v>293</v>
      </c>
      <c r="L265" s="15" t="s">
        <v>586</v>
      </c>
      <c r="M265" s="15"/>
      <c r="N265" s="15" t="str">
        <f t="shared" si="12"/>
        <v>MyntraTrend</v>
      </c>
      <c r="O265" s="15" t="s">
        <v>56</v>
      </c>
      <c r="P265" s="17">
        <f>(Post[[#This Row],[Likes]]+Post[[#This Row],[Shares]]+Post[[#This Row],[Comments]])/Post[[#This Row],[Impressions]]</f>
        <v>0.53389830508474578</v>
      </c>
      <c r="Q265" s="15">
        <f t="shared" si="14"/>
        <v>315</v>
      </c>
      <c r="R265" s="16">
        <f>_xlfn.XLOOKUP($O265,'Campaign Data '!$A:$A,'Campaign Data '!$B:$B)</f>
        <v>45667</v>
      </c>
      <c r="S265" s="16">
        <f>_xlfn.XLOOKUP($O265,'Campaign Data '!$A:$A,'Campaign Data '!$C:$C)</f>
        <v>45698</v>
      </c>
      <c r="T265" s="15" t="str">
        <f t="shared" si="13"/>
        <v>During</v>
      </c>
    </row>
    <row r="266" spans="1:20" ht="15">
      <c r="A266" s="15" t="s">
        <v>503</v>
      </c>
      <c r="B266" s="15" t="s">
        <v>14</v>
      </c>
      <c r="C266" s="16">
        <v>45708</v>
      </c>
      <c r="D266" s="15" t="s">
        <v>43</v>
      </c>
      <c r="E266" s="15" t="s">
        <v>44</v>
      </c>
      <c r="F266" s="15">
        <v>1877</v>
      </c>
      <c r="G266" s="15">
        <v>745</v>
      </c>
      <c r="H266" s="15">
        <v>225</v>
      </c>
      <c r="I266" s="15">
        <v>11262</v>
      </c>
      <c r="J266" s="15">
        <v>10967</v>
      </c>
      <c r="K266" s="15">
        <v>41</v>
      </c>
      <c r="L266" s="15" t="s">
        <v>585</v>
      </c>
      <c r="M266" s="15" t="s">
        <v>583</v>
      </c>
      <c r="N266" s="15" t="str">
        <f t="shared" si="12"/>
        <v>StyleWithMyntra,MyntraSale</v>
      </c>
      <c r="O266" s="15" t="s">
        <v>19</v>
      </c>
      <c r="P266" s="17">
        <f>(Post[[#This Row],[Likes]]+Post[[#This Row],[Shares]]+Post[[#This Row],[Comments]])/Post[[#This Row],[Impressions]]</f>
        <v>0.25279701651571657</v>
      </c>
      <c r="Q266" s="15">
        <f t="shared" si="14"/>
        <v>2847</v>
      </c>
      <c r="R266" s="16">
        <f>_xlfn.XLOOKUP($O266,'Campaign Data '!$A:$A,'Campaign Data '!$B:$B)</f>
        <v>45505</v>
      </c>
      <c r="S266" s="16">
        <f>_xlfn.XLOOKUP($O266,'Campaign Data '!$A:$A,'Campaign Data '!$C:$C)</f>
        <v>45535</v>
      </c>
      <c r="T266" s="15" t="str">
        <f t="shared" si="13"/>
        <v>Before</v>
      </c>
    </row>
    <row r="267" spans="1:20" ht="15">
      <c r="A267" s="15" t="s">
        <v>505</v>
      </c>
      <c r="B267" s="15" t="s">
        <v>41</v>
      </c>
      <c r="C267" s="16">
        <v>45621</v>
      </c>
      <c r="D267" s="15" t="s">
        <v>33</v>
      </c>
      <c r="E267" s="15" t="s">
        <v>34</v>
      </c>
      <c r="F267" s="15">
        <v>4182</v>
      </c>
      <c r="G267" s="15">
        <v>640</v>
      </c>
      <c r="H267" s="15">
        <v>240</v>
      </c>
      <c r="I267" s="15">
        <v>50184</v>
      </c>
      <c r="J267" s="15">
        <v>49351</v>
      </c>
      <c r="K267" s="15">
        <v>10</v>
      </c>
      <c r="L267" s="15" t="s">
        <v>583</v>
      </c>
      <c r="M267" s="15" t="s">
        <v>585</v>
      </c>
      <c r="N267" s="15" t="str">
        <f t="shared" si="12"/>
        <v>MyntraSale,StyleWithMyntra</v>
      </c>
      <c r="O267" s="15" t="s">
        <v>39</v>
      </c>
      <c r="P267" s="17">
        <f>(Post[[#This Row],[Likes]]+Post[[#This Row],[Shares]]+Post[[#This Row],[Comments]])/Post[[#This Row],[Impressions]]</f>
        <v>0.10086880280567512</v>
      </c>
      <c r="Q267" s="15">
        <f t="shared" si="14"/>
        <v>5062</v>
      </c>
      <c r="R267" s="16">
        <f>_xlfn.XLOOKUP($O267,'Campaign Data '!$A:$A,'Campaign Data '!$B:$B)</f>
        <v>45570</v>
      </c>
      <c r="S267" s="16">
        <f>_xlfn.XLOOKUP($O267,'Campaign Data '!$A:$A,'Campaign Data '!$C:$C)</f>
        <v>45601</v>
      </c>
      <c r="T267" s="15" t="str">
        <f t="shared" si="13"/>
        <v>Before</v>
      </c>
    </row>
    <row r="268" spans="1:20" ht="15">
      <c r="A268" s="15" t="s">
        <v>506</v>
      </c>
      <c r="B268" s="15" t="s">
        <v>14</v>
      </c>
      <c r="C268" s="16">
        <v>45569</v>
      </c>
      <c r="D268" s="15" t="s">
        <v>16</v>
      </c>
      <c r="E268" s="15" t="s">
        <v>17</v>
      </c>
      <c r="F268" s="15">
        <v>4187</v>
      </c>
      <c r="G268" s="15">
        <v>66</v>
      </c>
      <c r="H268" s="15">
        <v>31</v>
      </c>
      <c r="I268" s="15">
        <v>66992</v>
      </c>
      <c r="J268" s="15">
        <v>66614</v>
      </c>
      <c r="K268" s="15">
        <v>62</v>
      </c>
      <c r="L268" s="15" t="s">
        <v>585</v>
      </c>
      <c r="M268" s="15"/>
      <c r="N268" s="15" t="str">
        <f t="shared" si="12"/>
        <v>StyleWithMyntra</v>
      </c>
      <c r="O268" s="15" t="s">
        <v>56</v>
      </c>
      <c r="P268" s="17">
        <f>(Post[[#This Row],[Likes]]+Post[[#This Row],[Shares]]+Post[[#This Row],[Comments]])/Post[[#This Row],[Impressions]]</f>
        <v>6.3947934081681396E-2</v>
      </c>
      <c r="Q268" s="15">
        <f t="shared" si="14"/>
        <v>4284</v>
      </c>
      <c r="R268" s="16">
        <f>_xlfn.XLOOKUP($O268,'Campaign Data '!$A:$A,'Campaign Data '!$B:$B)</f>
        <v>45667</v>
      </c>
      <c r="S268" s="16">
        <f>_xlfn.XLOOKUP($O268,'Campaign Data '!$A:$A,'Campaign Data '!$C:$C)</f>
        <v>45698</v>
      </c>
      <c r="T268" s="15" t="str">
        <f t="shared" si="13"/>
        <v>Before</v>
      </c>
    </row>
    <row r="269" spans="1:20" ht="15">
      <c r="A269" s="15" t="s">
        <v>507</v>
      </c>
      <c r="B269" s="15" t="s">
        <v>31</v>
      </c>
      <c r="C269" s="16">
        <v>45760</v>
      </c>
      <c r="D269" s="15" t="s">
        <v>16</v>
      </c>
      <c r="E269" s="15" t="s">
        <v>17</v>
      </c>
      <c r="F269" s="15">
        <v>4579</v>
      </c>
      <c r="G269" s="15">
        <v>125</v>
      </c>
      <c r="H269" s="15">
        <v>300</v>
      </c>
      <c r="I269" s="15">
        <v>59527</v>
      </c>
      <c r="J269" s="15">
        <v>59400</v>
      </c>
      <c r="K269" s="15">
        <v>269</v>
      </c>
      <c r="L269" s="15" t="s">
        <v>585</v>
      </c>
      <c r="M269" s="15" t="s">
        <v>584</v>
      </c>
      <c r="N269" s="15" t="str">
        <f t="shared" si="12"/>
        <v>StyleWithMyntra,MyntraFashion</v>
      </c>
      <c r="O269" s="15" t="s">
        <v>19</v>
      </c>
      <c r="P269" s="17">
        <f>(Post[[#This Row],[Likes]]+Post[[#This Row],[Shares]]+Post[[#This Row],[Comments]])/Post[[#This Row],[Impressions]]</f>
        <v>8.4062694239588759E-2</v>
      </c>
      <c r="Q269" s="15">
        <f t="shared" si="14"/>
        <v>5004</v>
      </c>
      <c r="R269" s="16">
        <f>_xlfn.XLOOKUP($O269,'Campaign Data '!$A:$A,'Campaign Data '!$B:$B)</f>
        <v>45505</v>
      </c>
      <c r="S269" s="16">
        <f>_xlfn.XLOOKUP($O269,'Campaign Data '!$A:$A,'Campaign Data '!$C:$C)</f>
        <v>45535</v>
      </c>
      <c r="T269" s="15" t="str">
        <f t="shared" si="13"/>
        <v>Before</v>
      </c>
    </row>
    <row r="270" spans="1:20" ht="15">
      <c r="A270" s="15" t="s">
        <v>509</v>
      </c>
      <c r="B270" s="15" t="s">
        <v>31</v>
      </c>
      <c r="C270" s="16">
        <v>45601</v>
      </c>
      <c r="D270" s="15" t="s">
        <v>70</v>
      </c>
      <c r="E270" s="15" t="s">
        <v>71</v>
      </c>
      <c r="F270" s="15">
        <v>4561</v>
      </c>
      <c r="G270" s="15">
        <v>51</v>
      </c>
      <c r="H270" s="15">
        <v>441</v>
      </c>
      <c r="I270" s="15">
        <v>22805</v>
      </c>
      <c r="J270" s="15">
        <v>21890</v>
      </c>
      <c r="K270" s="15">
        <v>45</v>
      </c>
      <c r="L270" s="15" t="s">
        <v>585</v>
      </c>
      <c r="M270" s="15"/>
      <c r="N270" s="15" t="str">
        <f t="shared" si="12"/>
        <v>StyleWithMyntra</v>
      </c>
      <c r="O270" s="15" t="s">
        <v>25</v>
      </c>
      <c r="P270" s="17">
        <f>(Post[[#This Row],[Likes]]+Post[[#This Row],[Shares]]+Post[[#This Row],[Comments]])/Post[[#This Row],[Impressions]]</f>
        <v>0.22157421618066214</v>
      </c>
      <c r="Q270" s="15">
        <f t="shared" si="14"/>
        <v>5053</v>
      </c>
      <c r="R270" s="16">
        <f>_xlfn.XLOOKUP($O270,'Campaign Data '!$A:$A,'Campaign Data '!$B:$B)</f>
        <v>45453</v>
      </c>
      <c r="S270" s="16">
        <f>_xlfn.XLOOKUP($O270,'Campaign Data '!$A:$A,'Campaign Data '!$C:$C)</f>
        <v>45478</v>
      </c>
      <c r="T270" s="15" t="str">
        <f t="shared" si="13"/>
        <v>Before</v>
      </c>
    </row>
    <row r="271" spans="1:20" ht="15">
      <c r="A271" s="15" t="s">
        <v>511</v>
      </c>
      <c r="B271" s="15" t="s">
        <v>27</v>
      </c>
      <c r="C271" s="16">
        <v>45672</v>
      </c>
      <c r="D271" s="15" t="s">
        <v>16</v>
      </c>
      <c r="E271" s="15" t="s">
        <v>17</v>
      </c>
      <c r="F271" s="15">
        <v>3774</v>
      </c>
      <c r="G271" s="15">
        <v>239</v>
      </c>
      <c r="H271" s="15">
        <v>39</v>
      </c>
      <c r="I271" s="15">
        <v>60384</v>
      </c>
      <c r="J271" s="15">
        <v>59490</v>
      </c>
      <c r="K271" s="15">
        <v>241</v>
      </c>
      <c r="L271" s="15" t="s">
        <v>588</v>
      </c>
      <c r="M271" s="15"/>
      <c r="N271" s="15" t="str">
        <f t="shared" si="12"/>
        <v>FashionDeals</v>
      </c>
      <c r="O271" s="15" t="s">
        <v>39</v>
      </c>
      <c r="P271" s="17">
        <f>(Post[[#This Row],[Likes]]+Post[[#This Row],[Shares]]+Post[[#This Row],[Comments]])/Post[[#This Row],[Impressions]]</f>
        <v>6.7103868574456813E-2</v>
      </c>
      <c r="Q271" s="15">
        <f t="shared" si="14"/>
        <v>4052</v>
      </c>
      <c r="R271" s="16">
        <f>_xlfn.XLOOKUP($O271,'Campaign Data '!$A:$A,'Campaign Data '!$B:$B)</f>
        <v>45570</v>
      </c>
      <c r="S271" s="16">
        <f>_xlfn.XLOOKUP($O271,'Campaign Data '!$A:$A,'Campaign Data '!$C:$C)</f>
        <v>45601</v>
      </c>
      <c r="T271" s="15" t="str">
        <f t="shared" si="13"/>
        <v>Before</v>
      </c>
    </row>
    <row r="272" spans="1:20" ht="15">
      <c r="A272" s="15" t="s">
        <v>512</v>
      </c>
      <c r="B272" s="15" t="s">
        <v>31</v>
      </c>
      <c r="C272" s="16">
        <v>45582</v>
      </c>
      <c r="D272" s="15" t="s">
        <v>70</v>
      </c>
      <c r="E272" s="15" t="s">
        <v>71</v>
      </c>
      <c r="F272" s="15">
        <v>3575</v>
      </c>
      <c r="G272" s="15">
        <v>749</v>
      </c>
      <c r="H272" s="15">
        <v>111</v>
      </c>
      <c r="I272" s="15">
        <v>21450</v>
      </c>
      <c r="J272" s="15">
        <v>20785</v>
      </c>
      <c r="K272" s="15">
        <v>195</v>
      </c>
      <c r="L272" s="15" t="s">
        <v>588</v>
      </c>
      <c r="M272" s="15"/>
      <c r="N272" s="15" t="str">
        <f t="shared" si="12"/>
        <v>FashionDeals</v>
      </c>
      <c r="O272" s="15" t="s">
        <v>39</v>
      </c>
      <c r="P272" s="17">
        <f>(Post[[#This Row],[Likes]]+Post[[#This Row],[Shares]]+Post[[#This Row],[Comments]])/Post[[#This Row],[Impressions]]</f>
        <v>0.20675990675990677</v>
      </c>
      <c r="Q272" s="15">
        <f t="shared" si="14"/>
        <v>4435</v>
      </c>
      <c r="R272" s="16">
        <f>_xlfn.XLOOKUP($O272,'Campaign Data '!$A:$A,'Campaign Data '!$B:$B)</f>
        <v>45570</v>
      </c>
      <c r="S272" s="16">
        <f>_xlfn.XLOOKUP($O272,'Campaign Data '!$A:$A,'Campaign Data '!$C:$C)</f>
        <v>45601</v>
      </c>
      <c r="T272" s="15" t="str">
        <f t="shared" si="13"/>
        <v>During</v>
      </c>
    </row>
    <row r="273" spans="1:20" ht="15">
      <c r="A273" s="15" t="s">
        <v>514</v>
      </c>
      <c r="B273" s="15" t="s">
        <v>31</v>
      </c>
      <c r="C273" s="16">
        <v>45743</v>
      </c>
      <c r="D273" s="15" t="s">
        <v>22</v>
      </c>
      <c r="E273" s="15" t="s">
        <v>23</v>
      </c>
      <c r="F273" s="15">
        <v>4941</v>
      </c>
      <c r="G273" s="15">
        <v>414</v>
      </c>
      <c r="H273" s="15">
        <v>266</v>
      </c>
      <c r="I273" s="15">
        <v>39528</v>
      </c>
      <c r="J273" s="15">
        <v>39154</v>
      </c>
      <c r="K273" s="15">
        <v>217</v>
      </c>
      <c r="L273" s="15" t="s">
        <v>583</v>
      </c>
      <c r="M273" s="15"/>
      <c r="N273" s="15" t="str">
        <f t="shared" si="12"/>
        <v>MyntraSale</v>
      </c>
      <c r="O273" s="15" t="s">
        <v>25</v>
      </c>
      <c r="P273" s="17">
        <f>(Post[[#This Row],[Likes]]+Post[[#This Row],[Shares]]+Post[[#This Row],[Comments]])/Post[[#This Row],[Impressions]]</f>
        <v>0.14220299534507186</v>
      </c>
      <c r="Q273" s="15">
        <f t="shared" si="14"/>
        <v>5621</v>
      </c>
      <c r="R273" s="16">
        <f>_xlfn.XLOOKUP($O273,'Campaign Data '!$A:$A,'Campaign Data '!$B:$B)</f>
        <v>45453</v>
      </c>
      <c r="S273" s="16">
        <f>_xlfn.XLOOKUP($O273,'Campaign Data '!$A:$A,'Campaign Data '!$C:$C)</f>
        <v>45478</v>
      </c>
      <c r="T273" s="15" t="str">
        <f t="shared" si="13"/>
        <v>Before</v>
      </c>
    </row>
    <row r="274" spans="1:20" ht="15">
      <c r="A274" s="15" t="s">
        <v>515</v>
      </c>
      <c r="B274" s="15" t="s">
        <v>27</v>
      </c>
      <c r="C274" s="16">
        <v>45577</v>
      </c>
      <c r="D274" s="15" t="s">
        <v>33</v>
      </c>
      <c r="E274" s="15" t="s">
        <v>34</v>
      </c>
      <c r="F274" s="15">
        <v>3641</v>
      </c>
      <c r="G274" s="15">
        <v>226</v>
      </c>
      <c r="H274" s="15">
        <v>46</v>
      </c>
      <c r="I274" s="15">
        <v>40051</v>
      </c>
      <c r="J274" s="15">
        <v>39319</v>
      </c>
      <c r="K274" s="15">
        <v>296</v>
      </c>
      <c r="L274" s="15" t="s">
        <v>586</v>
      </c>
      <c r="M274" s="15"/>
      <c r="N274" s="15" t="str">
        <f t="shared" si="12"/>
        <v>MyntraTrend</v>
      </c>
      <c r="O274" s="15" t="s">
        <v>25</v>
      </c>
      <c r="P274" s="17">
        <f>(Post[[#This Row],[Likes]]+Post[[#This Row],[Shares]]+Post[[#This Row],[Comments]])/Post[[#This Row],[Impressions]]</f>
        <v>9.7700431949264685E-2</v>
      </c>
      <c r="Q274" s="15">
        <f t="shared" si="14"/>
        <v>3913</v>
      </c>
      <c r="R274" s="16">
        <f>_xlfn.XLOOKUP($O274,'Campaign Data '!$A:$A,'Campaign Data '!$B:$B)</f>
        <v>45453</v>
      </c>
      <c r="S274" s="16">
        <f>_xlfn.XLOOKUP($O274,'Campaign Data '!$A:$A,'Campaign Data '!$C:$C)</f>
        <v>45478</v>
      </c>
      <c r="T274" s="15" t="str">
        <f t="shared" si="13"/>
        <v>Before</v>
      </c>
    </row>
    <row r="275" spans="1:20" ht="15">
      <c r="A275" s="15" t="s">
        <v>517</v>
      </c>
      <c r="B275" s="15" t="s">
        <v>14</v>
      </c>
      <c r="C275" s="16">
        <v>45658</v>
      </c>
      <c r="D275" s="15" t="s">
        <v>43</v>
      </c>
      <c r="E275" s="15" t="s">
        <v>44</v>
      </c>
      <c r="F275" s="15">
        <v>3535</v>
      </c>
      <c r="G275" s="15">
        <v>494</v>
      </c>
      <c r="H275" s="15">
        <v>152</v>
      </c>
      <c r="I275" s="15">
        <v>53025</v>
      </c>
      <c r="J275" s="15">
        <v>52791</v>
      </c>
      <c r="K275" s="15">
        <v>44</v>
      </c>
      <c r="L275" s="15" t="s">
        <v>586</v>
      </c>
      <c r="M275" s="15" t="s">
        <v>585</v>
      </c>
      <c r="N275" s="15" t="str">
        <f t="shared" si="12"/>
        <v>MyntraTrend,StyleWithMyntra</v>
      </c>
      <c r="O275" s="15" t="s">
        <v>25</v>
      </c>
      <c r="P275" s="17">
        <f>(Post[[#This Row],[Likes]]+Post[[#This Row],[Shares]]+Post[[#This Row],[Comments]])/Post[[#This Row],[Impressions]]</f>
        <v>7.8849599245638849E-2</v>
      </c>
      <c r="Q275" s="15">
        <f t="shared" si="14"/>
        <v>4181</v>
      </c>
      <c r="R275" s="16">
        <f>_xlfn.XLOOKUP($O275,'Campaign Data '!$A:$A,'Campaign Data '!$B:$B)</f>
        <v>45453</v>
      </c>
      <c r="S275" s="16">
        <f>_xlfn.XLOOKUP($O275,'Campaign Data '!$A:$A,'Campaign Data '!$C:$C)</f>
        <v>45478</v>
      </c>
      <c r="T275" s="15" t="str">
        <f t="shared" si="13"/>
        <v>Before</v>
      </c>
    </row>
    <row r="276" spans="1:20" ht="15">
      <c r="A276" s="15" t="s">
        <v>518</v>
      </c>
      <c r="B276" s="15" t="s">
        <v>41</v>
      </c>
      <c r="C276" s="16">
        <v>45509</v>
      </c>
      <c r="D276" s="15" t="s">
        <v>16</v>
      </c>
      <c r="E276" s="15" t="s">
        <v>17</v>
      </c>
      <c r="F276" s="15">
        <v>1741</v>
      </c>
      <c r="G276" s="15">
        <v>831</v>
      </c>
      <c r="H276" s="15">
        <v>345</v>
      </c>
      <c r="I276" s="15">
        <v>17410</v>
      </c>
      <c r="J276" s="15">
        <v>16844</v>
      </c>
      <c r="K276" s="15">
        <v>58</v>
      </c>
      <c r="L276" s="15" t="s">
        <v>584</v>
      </c>
      <c r="M276" s="15" t="s">
        <v>588</v>
      </c>
      <c r="N276" s="15" t="str">
        <f t="shared" si="12"/>
        <v>MyntraFashion,FashionDeals</v>
      </c>
      <c r="O276" s="15" t="s">
        <v>56</v>
      </c>
      <c r="P276" s="17">
        <f>(Post[[#This Row],[Likes]]+Post[[#This Row],[Shares]]+Post[[#This Row],[Comments]])/Post[[#This Row],[Impressions]]</f>
        <v>0.16754738655944859</v>
      </c>
      <c r="Q276" s="15">
        <f t="shared" si="14"/>
        <v>2917</v>
      </c>
      <c r="R276" s="16">
        <f>_xlfn.XLOOKUP($O276,'Campaign Data '!$A:$A,'Campaign Data '!$B:$B)</f>
        <v>45667</v>
      </c>
      <c r="S276" s="16">
        <f>_xlfn.XLOOKUP($O276,'Campaign Data '!$A:$A,'Campaign Data '!$C:$C)</f>
        <v>45698</v>
      </c>
      <c r="T276" s="15" t="str">
        <f t="shared" si="13"/>
        <v>Before</v>
      </c>
    </row>
    <row r="277" spans="1:20" ht="15">
      <c r="A277" s="15" t="s">
        <v>519</v>
      </c>
      <c r="B277" s="15" t="s">
        <v>14</v>
      </c>
      <c r="C277" s="16">
        <v>45450</v>
      </c>
      <c r="D277" s="15" t="s">
        <v>43</v>
      </c>
      <c r="E277" s="15" t="s">
        <v>44</v>
      </c>
      <c r="F277" s="15">
        <v>1556</v>
      </c>
      <c r="G277" s="15">
        <v>195</v>
      </c>
      <c r="H277" s="15">
        <v>131</v>
      </c>
      <c r="I277" s="15">
        <v>9336</v>
      </c>
      <c r="J277" s="15">
        <v>8875</v>
      </c>
      <c r="K277" s="15">
        <v>137</v>
      </c>
      <c r="L277" s="15" t="s">
        <v>584</v>
      </c>
      <c r="M277" s="15"/>
      <c r="N277" s="15" t="str">
        <f t="shared" si="12"/>
        <v>MyntraFashion</v>
      </c>
      <c r="O277" s="15" t="s">
        <v>25</v>
      </c>
      <c r="P277" s="17">
        <f>(Post[[#This Row],[Likes]]+Post[[#This Row],[Shares]]+Post[[#This Row],[Comments]])/Post[[#This Row],[Impressions]]</f>
        <v>0.2015852613538989</v>
      </c>
      <c r="Q277" s="15">
        <f t="shared" si="14"/>
        <v>1882</v>
      </c>
      <c r="R277" s="16">
        <f>_xlfn.XLOOKUP($O277,'Campaign Data '!$A:$A,'Campaign Data '!$B:$B)</f>
        <v>45453</v>
      </c>
      <c r="S277" s="16">
        <f>_xlfn.XLOOKUP($O277,'Campaign Data '!$A:$A,'Campaign Data '!$C:$C)</f>
        <v>45478</v>
      </c>
      <c r="T277" s="15" t="str">
        <f t="shared" si="13"/>
        <v>Before</v>
      </c>
    </row>
    <row r="278" spans="1:20" ht="15">
      <c r="A278" s="15" t="s">
        <v>521</v>
      </c>
      <c r="B278" s="15" t="s">
        <v>41</v>
      </c>
      <c r="C278" s="16">
        <v>45753</v>
      </c>
      <c r="D278" s="15" t="s">
        <v>50</v>
      </c>
      <c r="E278" s="15" t="s">
        <v>51</v>
      </c>
      <c r="F278" s="15">
        <v>4236</v>
      </c>
      <c r="G278" s="15">
        <v>711</v>
      </c>
      <c r="H278" s="15">
        <v>298</v>
      </c>
      <c r="I278" s="15">
        <v>21180</v>
      </c>
      <c r="J278" s="15">
        <v>20516</v>
      </c>
      <c r="K278" s="15">
        <v>238</v>
      </c>
      <c r="L278" s="15" t="s">
        <v>586</v>
      </c>
      <c r="M278" s="15" t="s">
        <v>583</v>
      </c>
      <c r="N278" s="15" t="str">
        <f t="shared" si="12"/>
        <v>MyntraTrend,MyntraSale</v>
      </c>
      <c r="O278" s="15" t="s">
        <v>56</v>
      </c>
      <c r="P278" s="17">
        <f>(Post[[#This Row],[Likes]]+Post[[#This Row],[Shares]]+Post[[#This Row],[Comments]])/Post[[#This Row],[Impressions]]</f>
        <v>0.24763928234183191</v>
      </c>
      <c r="Q278" s="15">
        <f t="shared" si="14"/>
        <v>5245</v>
      </c>
      <c r="R278" s="16">
        <f>_xlfn.XLOOKUP($O278,'Campaign Data '!$A:$A,'Campaign Data '!$B:$B)</f>
        <v>45667</v>
      </c>
      <c r="S278" s="16">
        <f>_xlfn.XLOOKUP($O278,'Campaign Data '!$A:$A,'Campaign Data '!$C:$C)</f>
        <v>45698</v>
      </c>
      <c r="T278" s="15" t="str">
        <f t="shared" si="13"/>
        <v>Before</v>
      </c>
    </row>
    <row r="279" spans="1:20" ht="15">
      <c r="A279" s="15" t="s">
        <v>522</v>
      </c>
      <c r="B279" s="15" t="s">
        <v>14</v>
      </c>
      <c r="C279" s="16">
        <v>45622</v>
      </c>
      <c r="D279" s="15" t="s">
        <v>22</v>
      </c>
      <c r="E279" s="15" t="s">
        <v>23</v>
      </c>
      <c r="F279" s="15">
        <v>4516</v>
      </c>
      <c r="G279" s="15">
        <v>836</v>
      </c>
      <c r="H279" s="15">
        <v>169</v>
      </c>
      <c r="I279" s="15">
        <v>49676</v>
      </c>
      <c r="J279" s="15">
        <v>49257</v>
      </c>
      <c r="K279" s="15">
        <v>282</v>
      </c>
      <c r="L279" s="15" t="s">
        <v>586</v>
      </c>
      <c r="M279" s="15"/>
      <c r="N279" s="15" t="str">
        <f t="shared" si="12"/>
        <v>MyntraTrend</v>
      </c>
      <c r="O279" s="15" t="s">
        <v>19</v>
      </c>
      <c r="P279" s="17">
        <f>(Post[[#This Row],[Likes]]+Post[[#This Row],[Shares]]+Post[[#This Row],[Comments]])/Post[[#This Row],[Impressions]]</f>
        <v>0.11114018842096787</v>
      </c>
      <c r="Q279" s="15">
        <f t="shared" si="14"/>
        <v>5521</v>
      </c>
      <c r="R279" s="16">
        <f>_xlfn.XLOOKUP($O279,'Campaign Data '!$A:$A,'Campaign Data '!$B:$B)</f>
        <v>45505</v>
      </c>
      <c r="S279" s="16">
        <f>_xlfn.XLOOKUP($O279,'Campaign Data '!$A:$A,'Campaign Data '!$C:$C)</f>
        <v>45535</v>
      </c>
      <c r="T279" s="15" t="str">
        <f t="shared" si="13"/>
        <v>Before</v>
      </c>
    </row>
    <row r="280" spans="1:20" ht="15">
      <c r="A280" s="15" t="s">
        <v>524</v>
      </c>
      <c r="B280" s="15" t="s">
        <v>27</v>
      </c>
      <c r="C280" s="16">
        <v>45537</v>
      </c>
      <c r="D280" s="15" t="s">
        <v>50</v>
      </c>
      <c r="E280" s="15" t="s">
        <v>51</v>
      </c>
      <c r="F280" s="15">
        <v>4905</v>
      </c>
      <c r="G280" s="15">
        <v>845</v>
      </c>
      <c r="H280" s="15">
        <v>129</v>
      </c>
      <c r="I280" s="15">
        <v>98100</v>
      </c>
      <c r="J280" s="15">
        <v>97772</v>
      </c>
      <c r="K280" s="15">
        <v>279</v>
      </c>
      <c r="L280" s="15" t="s">
        <v>586</v>
      </c>
      <c r="M280" s="15"/>
      <c r="N280" s="15" t="str">
        <f t="shared" si="12"/>
        <v>MyntraTrend</v>
      </c>
      <c r="O280" s="15" t="s">
        <v>56</v>
      </c>
      <c r="P280" s="17">
        <f>(Post[[#This Row],[Likes]]+Post[[#This Row],[Shares]]+Post[[#This Row],[Comments]])/Post[[#This Row],[Impressions]]</f>
        <v>5.9928644240570844E-2</v>
      </c>
      <c r="Q280" s="15">
        <f t="shared" si="14"/>
        <v>5879</v>
      </c>
      <c r="R280" s="16">
        <f>_xlfn.XLOOKUP($O280,'Campaign Data '!$A:$A,'Campaign Data '!$B:$B)</f>
        <v>45667</v>
      </c>
      <c r="S280" s="16">
        <f>_xlfn.XLOOKUP($O280,'Campaign Data '!$A:$A,'Campaign Data '!$C:$C)</f>
        <v>45698</v>
      </c>
      <c r="T280" s="15" t="str">
        <f t="shared" si="13"/>
        <v>Before</v>
      </c>
    </row>
    <row r="281" spans="1:20" ht="15">
      <c r="A281" s="15" t="s">
        <v>525</v>
      </c>
      <c r="B281" s="15" t="s">
        <v>27</v>
      </c>
      <c r="C281" s="16">
        <v>45586</v>
      </c>
      <c r="D281" s="15" t="s">
        <v>70</v>
      </c>
      <c r="E281" s="15" t="s">
        <v>71</v>
      </c>
      <c r="F281" s="15">
        <v>4275</v>
      </c>
      <c r="G281" s="15">
        <v>680</v>
      </c>
      <c r="H281" s="15">
        <v>385</v>
      </c>
      <c r="I281" s="15">
        <v>64125</v>
      </c>
      <c r="J281" s="15">
        <v>63650</v>
      </c>
      <c r="K281" s="15">
        <v>104</v>
      </c>
      <c r="L281" s="15" t="s">
        <v>585</v>
      </c>
      <c r="M281" s="15"/>
      <c r="N281" s="15" t="str">
        <f t="shared" si="12"/>
        <v>StyleWithMyntra</v>
      </c>
      <c r="O281" s="15" t="s">
        <v>56</v>
      </c>
      <c r="P281" s="17">
        <f>(Post[[#This Row],[Likes]]+Post[[#This Row],[Shares]]+Post[[#This Row],[Comments]])/Post[[#This Row],[Impressions]]</f>
        <v>8.3274853801169585E-2</v>
      </c>
      <c r="Q281" s="15">
        <f t="shared" si="14"/>
        <v>5340</v>
      </c>
      <c r="R281" s="16">
        <f>_xlfn.XLOOKUP($O281,'Campaign Data '!$A:$A,'Campaign Data '!$B:$B)</f>
        <v>45667</v>
      </c>
      <c r="S281" s="16">
        <f>_xlfn.XLOOKUP($O281,'Campaign Data '!$A:$A,'Campaign Data '!$C:$C)</f>
        <v>45698</v>
      </c>
      <c r="T281" s="15" t="str">
        <f t="shared" si="13"/>
        <v>Before</v>
      </c>
    </row>
    <row r="282" spans="1:20" ht="15">
      <c r="A282" s="15" t="s">
        <v>526</v>
      </c>
      <c r="B282" s="15" t="s">
        <v>27</v>
      </c>
      <c r="C282" s="16">
        <v>45738</v>
      </c>
      <c r="D282" s="15" t="s">
        <v>50</v>
      </c>
      <c r="E282" s="15" t="s">
        <v>51</v>
      </c>
      <c r="F282" s="15">
        <v>3166</v>
      </c>
      <c r="G282" s="15">
        <v>90</v>
      </c>
      <c r="H282" s="15">
        <v>341</v>
      </c>
      <c r="I282" s="15">
        <v>56988</v>
      </c>
      <c r="J282" s="15">
        <v>56125</v>
      </c>
      <c r="K282" s="15">
        <v>135</v>
      </c>
      <c r="L282" s="15" t="s">
        <v>584</v>
      </c>
      <c r="M282" s="15" t="s">
        <v>585</v>
      </c>
      <c r="N282" s="15" t="str">
        <f t="shared" si="12"/>
        <v>MyntraFashion,StyleWithMyntra</v>
      </c>
      <c r="O282" s="15" t="s">
        <v>25</v>
      </c>
      <c r="P282" s="17">
        <f>(Post[[#This Row],[Likes]]+Post[[#This Row],[Shares]]+Post[[#This Row],[Comments]])/Post[[#This Row],[Impressions]]</f>
        <v>6.3118551273952411E-2</v>
      </c>
      <c r="Q282" s="15">
        <f t="shared" si="14"/>
        <v>3597</v>
      </c>
      <c r="R282" s="16">
        <f>_xlfn.XLOOKUP($O282,'Campaign Data '!$A:$A,'Campaign Data '!$B:$B)</f>
        <v>45453</v>
      </c>
      <c r="S282" s="16">
        <f>_xlfn.XLOOKUP($O282,'Campaign Data '!$A:$A,'Campaign Data '!$C:$C)</f>
        <v>45478</v>
      </c>
      <c r="T282" s="15" t="str">
        <f t="shared" si="13"/>
        <v>Before</v>
      </c>
    </row>
    <row r="283" spans="1:20" ht="15">
      <c r="A283" s="15" t="s">
        <v>528</v>
      </c>
      <c r="B283" s="15" t="s">
        <v>31</v>
      </c>
      <c r="C283" s="16">
        <v>45568</v>
      </c>
      <c r="D283" s="15" t="s">
        <v>70</v>
      </c>
      <c r="E283" s="15" t="s">
        <v>71</v>
      </c>
      <c r="F283" s="15">
        <v>1488</v>
      </c>
      <c r="G283" s="15">
        <v>417</v>
      </c>
      <c r="H283" s="15">
        <v>168</v>
      </c>
      <c r="I283" s="15">
        <v>19344</v>
      </c>
      <c r="J283" s="15">
        <v>18395</v>
      </c>
      <c r="K283" s="15">
        <v>30</v>
      </c>
      <c r="L283" s="15" t="s">
        <v>583</v>
      </c>
      <c r="M283" s="15"/>
      <c r="N283" s="15" t="str">
        <f t="shared" si="12"/>
        <v>MyntraSale</v>
      </c>
      <c r="O283" s="15" t="s">
        <v>19</v>
      </c>
      <c r="P283" s="17">
        <f>(Post[[#This Row],[Likes]]+Post[[#This Row],[Shares]]+Post[[#This Row],[Comments]])/Post[[#This Row],[Impressions]]</f>
        <v>0.1071650124069479</v>
      </c>
      <c r="Q283" s="15">
        <f t="shared" si="14"/>
        <v>2073</v>
      </c>
      <c r="R283" s="16">
        <f>_xlfn.XLOOKUP($O283,'Campaign Data '!$A:$A,'Campaign Data '!$B:$B)</f>
        <v>45505</v>
      </c>
      <c r="S283" s="16">
        <f>_xlfn.XLOOKUP($O283,'Campaign Data '!$A:$A,'Campaign Data '!$C:$C)</f>
        <v>45535</v>
      </c>
      <c r="T283" s="15" t="str">
        <f t="shared" si="13"/>
        <v>Before</v>
      </c>
    </row>
    <row r="284" spans="1:20" ht="15">
      <c r="A284" s="15" t="s">
        <v>530</v>
      </c>
      <c r="B284" s="15" t="s">
        <v>14</v>
      </c>
      <c r="C284" s="16">
        <v>45786</v>
      </c>
      <c r="D284" s="15" t="s">
        <v>16</v>
      </c>
      <c r="E284" s="15" t="s">
        <v>17</v>
      </c>
      <c r="F284" s="15">
        <v>3367</v>
      </c>
      <c r="G284" s="15">
        <v>302</v>
      </c>
      <c r="H284" s="15">
        <v>57</v>
      </c>
      <c r="I284" s="15">
        <v>63973</v>
      </c>
      <c r="J284" s="15">
        <v>63789</v>
      </c>
      <c r="K284" s="15">
        <v>157</v>
      </c>
      <c r="L284" s="15" t="s">
        <v>586</v>
      </c>
      <c r="M284" s="15" t="s">
        <v>584</v>
      </c>
      <c r="N284" s="15" t="str">
        <f t="shared" si="12"/>
        <v>MyntraTrend,MyntraFashion</v>
      </c>
      <c r="O284" s="15" t="s">
        <v>39</v>
      </c>
      <c r="P284" s="17">
        <f>(Post[[#This Row],[Likes]]+Post[[#This Row],[Shares]]+Post[[#This Row],[Comments]])/Post[[#This Row],[Impressions]]</f>
        <v>5.8243321401216137E-2</v>
      </c>
      <c r="Q284" s="15">
        <f t="shared" si="14"/>
        <v>3726</v>
      </c>
      <c r="R284" s="16">
        <f>_xlfn.XLOOKUP($O284,'Campaign Data '!$A:$A,'Campaign Data '!$B:$B)</f>
        <v>45570</v>
      </c>
      <c r="S284" s="16">
        <f>_xlfn.XLOOKUP($O284,'Campaign Data '!$A:$A,'Campaign Data '!$C:$C)</f>
        <v>45601</v>
      </c>
      <c r="T284" s="15" t="str">
        <f t="shared" si="13"/>
        <v>Before</v>
      </c>
    </row>
    <row r="285" spans="1:20" ht="15">
      <c r="A285" s="15" t="s">
        <v>532</v>
      </c>
      <c r="B285" s="15" t="s">
        <v>14</v>
      </c>
      <c r="C285" s="16">
        <v>45552</v>
      </c>
      <c r="D285" s="15" t="s">
        <v>22</v>
      </c>
      <c r="E285" s="15" t="s">
        <v>23</v>
      </c>
      <c r="F285" s="15">
        <v>571</v>
      </c>
      <c r="G285" s="15">
        <v>190</v>
      </c>
      <c r="H285" s="15">
        <v>352</v>
      </c>
      <c r="I285" s="15">
        <v>9707</v>
      </c>
      <c r="J285" s="15">
        <v>9418</v>
      </c>
      <c r="K285" s="15">
        <v>231</v>
      </c>
      <c r="L285" s="15" t="s">
        <v>588</v>
      </c>
      <c r="M285" s="15"/>
      <c r="N285" s="15" t="str">
        <f t="shared" si="12"/>
        <v>FashionDeals</v>
      </c>
      <c r="O285" s="15" t="s">
        <v>25</v>
      </c>
      <c r="P285" s="17">
        <f>(Post[[#This Row],[Likes]]+Post[[#This Row],[Shares]]+Post[[#This Row],[Comments]])/Post[[#This Row],[Impressions]]</f>
        <v>0.11465952405480581</v>
      </c>
      <c r="Q285" s="15">
        <f t="shared" si="14"/>
        <v>1113</v>
      </c>
      <c r="R285" s="16">
        <f>_xlfn.XLOOKUP($O285,'Campaign Data '!$A:$A,'Campaign Data '!$B:$B)</f>
        <v>45453</v>
      </c>
      <c r="S285" s="16">
        <f>_xlfn.XLOOKUP($O285,'Campaign Data '!$A:$A,'Campaign Data '!$C:$C)</f>
        <v>45478</v>
      </c>
      <c r="T285" s="15" t="str">
        <f t="shared" si="13"/>
        <v>Before</v>
      </c>
    </row>
    <row r="286" spans="1:20" ht="15">
      <c r="A286" s="15" t="s">
        <v>533</v>
      </c>
      <c r="B286" s="15" t="s">
        <v>27</v>
      </c>
      <c r="C286" s="16">
        <v>45491</v>
      </c>
      <c r="D286" s="15" t="s">
        <v>22</v>
      </c>
      <c r="E286" s="15" t="s">
        <v>23</v>
      </c>
      <c r="F286" s="15">
        <v>4021</v>
      </c>
      <c r="G286" s="15">
        <v>794</v>
      </c>
      <c r="H286" s="15">
        <v>77</v>
      </c>
      <c r="I286" s="15">
        <v>36189</v>
      </c>
      <c r="J286" s="15">
        <v>35505</v>
      </c>
      <c r="K286" s="15">
        <v>174</v>
      </c>
      <c r="L286" s="15" t="s">
        <v>588</v>
      </c>
      <c r="M286" s="15" t="s">
        <v>585</v>
      </c>
      <c r="N286" s="15" t="str">
        <f t="shared" si="12"/>
        <v>FashionDeals,StyleWithMyntra</v>
      </c>
      <c r="O286" s="15" t="s">
        <v>19</v>
      </c>
      <c r="P286" s="17">
        <f>(Post[[#This Row],[Likes]]+Post[[#This Row],[Shares]]+Post[[#This Row],[Comments]])/Post[[#This Row],[Impressions]]</f>
        <v>0.13517919809886983</v>
      </c>
      <c r="Q286" s="15">
        <f t="shared" si="14"/>
        <v>4892</v>
      </c>
      <c r="R286" s="16">
        <f>_xlfn.XLOOKUP($O286,'Campaign Data '!$A:$A,'Campaign Data '!$B:$B)</f>
        <v>45505</v>
      </c>
      <c r="S286" s="16">
        <f>_xlfn.XLOOKUP($O286,'Campaign Data '!$A:$A,'Campaign Data '!$C:$C)</f>
        <v>45535</v>
      </c>
      <c r="T286" s="15" t="str">
        <f t="shared" si="13"/>
        <v>Before</v>
      </c>
    </row>
    <row r="287" spans="1:20" ht="15">
      <c r="A287" s="15" t="s">
        <v>534</v>
      </c>
      <c r="B287" s="15" t="s">
        <v>27</v>
      </c>
      <c r="C287" s="16">
        <v>45560</v>
      </c>
      <c r="D287" s="15" t="s">
        <v>70</v>
      </c>
      <c r="E287" s="15" t="s">
        <v>71</v>
      </c>
      <c r="F287" s="15">
        <v>3389</v>
      </c>
      <c r="G287" s="15">
        <v>344</v>
      </c>
      <c r="H287" s="15">
        <v>229</v>
      </c>
      <c r="I287" s="15">
        <v>20334</v>
      </c>
      <c r="J287" s="15">
        <v>19443</v>
      </c>
      <c r="K287" s="15">
        <v>228</v>
      </c>
      <c r="L287" s="15" t="s">
        <v>584</v>
      </c>
      <c r="M287" s="15" t="s">
        <v>583</v>
      </c>
      <c r="N287" s="15" t="str">
        <f t="shared" si="12"/>
        <v>MyntraFashion,MyntraSale</v>
      </c>
      <c r="O287" s="15" t="s">
        <v>25</v>
      </c>
      <c r="P287" s="17">
        <f>(Post[[#This Row],[Likes]]+Post[[#This Row],[Shares]]+Post[[#This Row],[Comments]])/Post[[#This Row],[Impressions]]</f>
        <v>0.19484607062063539</v>
      </c>
      <c r="Q287" s="15">
        <f t="shared" si="14"/>
        <v>3962</v>
      </c>
      <c r="R287" s="16">
        <f>_xlfn.XLOOKUP($O287,'Campaign Data '!$A:$A,'Campaign Data '!$B:$B)</f>
        <v>45453</v>
      </c>
      <c r="S287" s="16">
        <f>_xlfn.XLOOKUP($O287,'Campaign Data '!$A:$A,'Campaign Data '!$C:$C)</f>
        <v>45478</v>
      </c>
      <c r="T287" s="15" t="str">
        <f t="shared" si="13"/>
        <v>Before</v>
      </c>
    </row>
    <row r="288" spans="1:20" ht="15">
      <c r="A288" s="15" t="s">
        <v>536</v>
      </c>
      <c r="B288" s="15" t="s">
        <v>31</v>
      </c>
      <c r="C288" s="16">
        <v>45519</v>
      </c>
      <c r="D288" s="15" t="s">
        <v>16</v>
      </c>
      <c r="E288" s="15" t="s">
        <v>17</v>
      </c>
      <c r="F288" s="15">
        <v>1164</v>
      </c>
      <c r="G288" s="15">
        <v>616</v>
      </c>
      <c r="H288" s="15">
        <v>324</v>
      </c>
      <c r="I288" s="15">
        <v>6984</v>
      </c>
      <c r="J288" s="15">
        <v>6636</v>
      </c>
      <c r="K288" s="15">
        <v>82</v>
      </c>
      <c r="L288" s="15" t="s">
        <v>584</v>
      </c>
      <c r="M288" s="15" t="s">
        <v>586</v>
      </c>
      <c r="N288" s="15" t="str">
        <f t="shared" si="12"/>
        <v>MyntraFashion,MyntraTrend</v>
      </c>
      <c r="O288" s="15" t="s">
        <v>39</v>
      </c>
      <c r="P288" s="17">
        <f>(Post[[#This Row],[Likes]]+Post[[#This Row],[Shares]]+Post[[#This Row],[Comments]])/Post[[#This Row],[Impressions]]</f>
        <v>0.30126002290950743</v>
      </c>
      <c r="Q288" s="15">
        <f t="shared" si="14"/>
        <v>2104</v>
      </c>
      <c r="R288" s="16">
        <f>_xlfn.XLOOKUP($O288,'Campaign Data '!$A:$A,'Campaign Data '!$B:$B)</f>
        <v>45570</v>
      </c>
      <c r="S288" s="16">
        <f>_xlfn.XLOOKUP($O288,'Campaign Data '!$A:$A,'Campaign Data '!$C:$C)</f>
        <v>45601</v>
      </c>
      <c r="T288" s="15" t="str">
        <f t="shared" si="13"/>
        <v>Before</v>
      </c>
    </row>
    <row r="289" spans="1:20" ht="15">
      <c r="A289" s="15" t="s">
        <v>537</v>
      </c>
      <c r="B289" s="15" t="s">
        <v>27</v>
      </c>
      <c r="C289" s="16">
        <v>45764</v>
      </c>
      <c r="D289" s="15" t="s">
        <v>43</v>
      </c>
      <c r="E289" s="15" t="s">
        <v>44</v>
      </c>
      <c r="F289" s="15">
        <v>4780</v>
      </c>
      <c r="G289" s="15">
        <v>691</v>
      </c>
      <c r="H289" s="15">
        <v>380</v>
      </c>
      <c r="I289" s="15">
        <v>86040</v>
      </c>
      <c r="J289" s="15">
        <v>85743</v>
      </c>
      <c r="K289" s="15">
        <v>262</v>
      </c>
      <c r="L289" s="15" t="s">
        <v>584</v>
      </c>
      <c r="M289" s="15" t="s">
        <v>588</v>
      </c>
      <c r="N289" s="15" t="str">
        <f t="shared" si="12"/>
        <v>MyntraFashion,FashionDeals</v>
      </c>
      <c r="O289" s="15" t="s">
        <v>39</v>
      </c>
      <c r="P289" s="17">
        <f>(Post[[#This Row],[Likes]]+Post[[#This Row],[Shares]]+Post[[#This Row],[Comments]])/Post[[#This Row],[Impressions]]</f>
        <v>6.800325430032543E-2</v>
      </c>
      <c r="Q289" s="15">
        <f t="shared" si="14"/>
        <v>5851</v>
      </c>
      <c r="R289" s="16">
        <f>_xlfn.XLOOKUP($O289,'Campaign Data '!$A:$A,'Campaign Data '!$B:$B)</f>
        <v>45570</v>
      </c>
      <c r="S289" s="16">
        <f>_xlfn.XLOOKUP($O289,'Campaign Data '!$A:$A,'Campaign Data '!$C:$C)</f>
        <v>45601</v>
      </c>
      <c r="T289" s="15" t="str">
        <f t="shared" si="13"/>
        <v>Before</v>
      </c>
    </row>
    <row r="290" spans="1:20" ht="15">
      <c r="A290" s="15" t="s">
        <v>539</v>
      </c>
      <c r="B290" s="15" t="s">
        <v>41</v>
      </c>
      <c r="C290" s="16">
        <v>45624</v>
      </c>
      <c r="D290" s="15" t="s">
        <v>43</v>
      </c>
      <c r="E290" s="15" t="s">
        <v>44</v>
      </c>
      <c r="F290" s="15">
        <v>2751</v>
      </c>
      <c r="G290" s="15">
        <v>33</v>
      </c>
      <c r="H290" s="15">
        <v>430</v>
      </c>
      <c r="I290" s="15">
        <v>44016</v>
      </c>
      <c r="J290" s="15">
        <v>43415</v>
      </c>
      <c r="K290" s="15">
        <v>129</v>
      </c>
      <c r="L290" s="15" t="s">
        <v>586</v>
      </c>
      <c r="M290" s="15" t="s">
        <v>585</v>
      </c>
      <c r="N290" s="15" t="str">
        <f t="shared" si="12"/>
        <v>MyntraTrend,StyleWithMyntra</v>
      </c>
      <c r="O290" s="15" t="s">
        <v>25</v>
      </c>
      <c r="P290" s="17">
        <f>(Post[[#This Row],[Likes]]+Post[[#This Row],[Shares]]+Post[[#This Row],[Comments]])/Post[[#This Row],[Impressions]]</f>
        <v>7.3018902217375503E-2</v>
      </c>
      <c r="Q290" s="15">
        <f t="shared" si="14"/>
        <v>3214</v>
      </c>
      <c r="R290" s="16">
        <f>_xlfn.XLOOKUP($O290,'Campaign Data '!$A:$A,'Campaign Data '!$B:$B)</f>
        <v>45453</v>
      </c>
      <c r="S290" s="16">
        <f>_xlfn.XLOOKUP($O290,'Campaign Data '!$A:$A,'Campaign Data '!$C:$C)</f>
        <v>45478</v>
      </c>
      <c r="T290" s="15" t="str">
        <f t="shared" si="13"/>
        <v>Before</v>
      </c>
    </row>
    <row r="291" spans="1:20" ht="15">
      <c r="A291" s="15" t="s">
        <v>540</v>
      </c>
      <c r="B291" s="15" t="s">
        <v>31</v>
      </c>
      <c r="C291" s="16">
        <v>45646</v>
      </c>
      <c r="D291" s="15" t="s">
        <v>43</v>
      </c>
      <c r="E291" s="15" t="s">
        <v>44</v>
      </c>
      <c r="F291" s="15">
        <v>2107</v>
      </c>
      <c r="G291" s="15">
        <v>550</v>
      </c>
      <c r="H291" s="15">
        <v>349</v>
      </c>
      <c r="I291" s="15">
        <v>35819</v>
      </c>
      <c r="J291" s="15">
        <v>35340</v>
      </c>
      <c r="K291" s="15">
        <v>191</v>
      </c>
      <c r="L291" s="15" t="s">
        <v>586</v>
      </c>
      <c r="M291" s="15"/>
      <c r="N291" s="15" t="str">
        <f t="shared" si="12"/>
        <v>MyntraTrend</v>
      </c>
      <c r="O291" s="15" t="s">
        <v>39</v>
      </c>
      <c r="P291" s="17">
        <f>(Post[[#This Row],[Likes]]+Post[[#This Row],[Shares]]+Post[[#This Row],[Comments]])/Post[[#This Row],[Impressions]]</f>
        <v>8.3921940869371006E-2</v>
      </c>
      <c r="Q291" s="15">
        <f t="shared" si="14"/>
        <v>3006</v>
      </c>
      <c r="R291" s="16">
        <f>_xlfn.XLOOKUP($O291,'Campaign Data '!$A:$A,'Campaign Data '!$B:$B)</f>
        <v>45570</v>
      </c>
      <c r="S291" s="16">
        <f>_xlfn.XLOOKUP($O291,'Campaign Data '!$A:$A,'Campaign Data '!$C:$C)</f>
        <v>45601</v>
      </c>
      <c r="T291" s="15" t="str">
        <f t="shared" si="13"/>
        <v>Before</v>
      </c>
    </row>
    <row r="292" spans="1:20" ht="15">
      <c r="A292" s="15" t="s">
        <v>542</v>
      </c>
      <c r="B292" s="15" t="s">
        <v>41</v>
      </c>
      <c r="C292" s="16">
        <v>45602</v>
      </c>
      <c r="D292" s="15" t="s">
        <v>70</v>
      </c>
      <c r="E292" s="15" t="s">
        <v>71</v>
      </c>
      <c r="F292" s="15">
        <v>4663</v>
      </c>
      <c r="G292" s="15">
        <v>145</v>
      </c>
      <c r="H292" s="15">
        <v>225</v>
      </c>
      <c r="I292" s="15">
        <v>69945</v>
      </c>
      <c r="J292" s="15">
        <v>69596</v>
      </c>
      <c r="K292" s="15">
        <v>35</v>
      </c>
      <c r="L292" s="15" t="s">
        <v>584</v>
      </c>
      <c r="M292" s="15"/>
      <c r="N292" s="15" t="str">
        <f t="shared" si="12"/>
        <v>MyntraFashion</v>
      </c>
      <c r="O292" s="15" t="s">
        <v>25</v>
      </c>
      <c r="P292" s="17">
        <f>(Post[[#This Row],[Likes]]+Post[[#This Row],[Shares]]+Post[[#This Row],[Comments]])/Post[[#This Row],[Impressions]]</f>
        <v>7.1956537279290869E-2</v>
      </c>
      <c r="Q292" s="15">
        <f t="shared" si="14"/>
        <v>5033</v>
      </c>
      <c r="R292" s="16">
        <f>_xlfn.XLOOKUP($O292,'Campaign Data '!$A:$A,'Campaign Data '!$B:$B)</f>
        <v>45453</v>
      </c>
      <c r="S292" s="16">
        <f>_xlfn.XLOOKUP($O292,'Campaign Data '!$A:$A,'Campaign Data '!$C:$C)</f>
        <v>45478</v>
      </c>
      <c r="T292" s="15" t="str">
        <f t="shared" si="13"/>
        <v>Before</v>
      </c>
    </row>
    <row r="293" spans="1:20" ht="15">
      <c r="A293" s="15" t="s">
        <v>543</v>
      </c>
      <c r="B293" s="15" t="s">
        <v>41</v>
      </c>
      <c r="C293" s="16">
        <v>45613</v>
      </c>
      <c r="D293" s="15" t="s">
        <v>22</v>
      </c>
      <c r="E293" s="15" t="s">
        <v>23</v>
      </c>
      <c r="F293" s="15">
        <v>880</v>
      </c>
      <c r="G293" s="15">
        <v>297</v>
      </c>
      <c r="H293" s="15">
        <v>345</v>
      </c>
      <c r="I293" s="15">
        <v>12320</v>
      </c>
      <c r="J293" s="15">
        <v>11978</v>
      </c>
      <c r="K293" s="15">
        <v>238</v>
      </c>
      <c r="L293" s="15" t="s">
        <v>583</v>
      </c>
      <c r="M293" s="15"/>
      <c r="N293" s="15" t="str">
        <f t="shared" si="12"/>
        <v>MyntraSale</v>
      </c>
      <c r="O293" s="15" t="s">
        <v>25</v>
      </c>
      <c r="P293" s="17">
        <f>(Post[[#This Row],[Likes]]+Post[[#This Row],[Shares]]+Post[[#This Row],[Comments]])/Post[[#This Row],[Impressions]]</f>
        <v>0.12353896103896105</v>
      </c>
      <c r="Q293" s="15">
        <f t="shared" si="14"/>
        <v>1522</v>
      </c>
      <c r="R293" s="16">
        <f>_xlfn.XLOOKUP($O293,'Campaign Data '!$A:$A,'Campaign Data '!$B:$B)</f>
        <v>45453</v>
      </c>
      <c r="S293" s="16">
        <f>_xlfn.XLOOKUP($O293,'Campaign Data '!$A:$A,'Campaign Data '!$C:$C)</f>
        <v>45478</v>
      </c>
      <c r="T293" s="15" t="str">
        <f t="shared" si="13"/>
        <v>Before</v>
      </c>
    </row>
    <row r="294" spans="1:20" ht="15">
      <c r="A294" s="15" t="s">
        <v>545</v>
      </c>
      <c r="B294" s="15" t="s">
        <v>41</v>
      </c>
      <c r="C294" s="16">
        <v>45791</v>
      </c>
      <c r="D294" s="15" t="s">
        <v>22</v>
      </c>
      <c r="E294" s="15" t="s">
        <v>23</v>
      </c>
      <c r="F294" s="15">
        <v>2634</v>
      </c>
      <c r="G294" s="15">
        <v>726</v>
      </c>
      <c r="H294" s="15">
        <v>241</v>
      </c>
      <c r="I294" s="15">
        <v>28974</v>
      </c>
      <c r="J294" s="15">
        <v>28102</v>
      </c>
      <c r="K294" s="15">
        <v>277</v>
      </c>
      <c r="L294" s="15" t="s">
        <v>585</v>
      </c>
      <c r="M294" s="15"/>
      <c r="N294" s="15" t="str">
        <f t="shared" si="12"/>
        <v>StyleWithMyntra</v>
      </c>
      <c r="O294" s="15" t="s">
        <v>39</v>
      </c>
      <c r="P294" s="17">
        <f>(Post[[#This Row],[Likes]]+Post[[#This Row],[Shares]]+Post[[#This Row],[Comments]])/Post[[#This Row],[Impressions]]</f>
        <v>0.12428384068475185</v>
      </c>
      <c r="Q294" s="15">
        <f t="shared" si="14"/>
        <v>3601</v>
      </c>
      <c r="R294" s="16">
        <f>_xlfn.XLOOKUP($O294,'Campaign Data '!$A:$A,'Campaign Data '!$B:$B)</f>
        <v>45570</v>
      </c>
      <c r="S294" s="16">
        <f>_xlfn.XLOOKUP($O294,'Campaign Data '!$A:$A,'Campaign Data '!$C:$C)</f>
        <v>45601</v>
      </c>
      <c r="T294" s="15" t="str">
        <f t="shared" si="13"/>
        <v>Before</v>
      </c>
    </row>
    <row r="295" spans="1:20" ht="15">
      <c r="A295" s="15" t="s">
        <v>547</v>
      </c>
      <c r="B295" s="15" t="s">
        <v>41</v>
      </c>
      <c r="C295" s="16">
        <v>45462</v>
      </c>
      <c r="D295" s="15" t="s">
        <v>43</v>
      </c>
      <c r="E295" s="15" t="s">
        <v>44</v>
      </c>
      <c r="F295" s="15">
        <v>4731</v>
      </c>
      <c r="G295" s="15">
        <v>173</v>
      </c>
      <c r="H295" s="15">
        <v>276</v>
      </c>
      <c r="I295" s="15">
        <v>28386</v>
      </c>
      <c r="J295" s="15">
        <v>28185</v>
      </c>
      <c r="K295" s="15">
        <v>89</v>
      </c>
      <c r="L295" s="15" t="s">
        <v>586</v>
      </c>
      <c r="M295" s="15" t="s">
        <v>584</v>
      </c>
      <c r="N295" s="15" t="str">
        <f t="shared" si="12"/>
        <v>MyntraTrend,MyntraFashion</v>
      </c>
      <c r="O295" s="15" t="s">
        <v>56</v>
      </c>
      <c r="P295" s="17">
        <f>(Post[[#This Row],[Likes]]+Post[[#This Row],[Shares]]+Post[[#This Row],[Comments]])/Post[[#This Row],[Impressions]]</f>
        <v>0.18248432325794406</v>
      </c>
      <c r="Q295" s="15">
        <f t="shared" si="14"/>
        <v>5180</v>
      </c>
      <c r="R295" s="16">
        <f>_xlfn.XLOOKUP($O295,'Campaign Data '!$A:$A,'Campaign Data '!$B:$B)</f>
        <v>45667</v>
      </c>
      <c r="S295" s="16">
        <f>_xlfn.XLOOKUP($O295,'Campaign Data '!$A:$A,'Campaign Data '!$C:$C)</f>
        <v>45698</v>
      </c>
      <c r="T295" s="15" t="str">
        <f t="shared" si="13"/>
        <v>Before</v>
      </c>
    </row>
    <row r="296" spans="1:20" ht="15">
      <c r="A296" s="15" t="s">
        <v>549</v>
      </c>
      <c r="B296" s="15" t="s">
        <v>14</v>
      </c>
      <c r="C296" s="16">
        <v>45783</v>
      </c>
      <c r="D296" s="15" t="s">
        <v>50</v>
      </c>
      <c r="E296" s="15" t="s">
        <v>51</v>
      </c>
      <c r="F296" s="15">
        <v>1952</v>
      </c>
      <c r="G296" s="15">
        <v>344</v>
      </c>
      <c r="H296" s="15">
        <v>287</v>
      </c>
      <c r="I296" s="15">
        <v>15616</v>
      </c>
      <c r="J296" s="15">
        <v>15403</v>
      </c>
      <c r="K296" s="15">
        <v>235</v>
      </c>
      <c r="L296" s="15" t="s">
        <v>583</v>
      </c>
      <c r="M296" s="15" t="s">
        <v>584</v>
      </c>
      <c r="N296" s="15" t="str">
        <f t="shared" si="12"/>
        <v>MyntraSale,MyntraFashion</v>
      </c>
      <c r="O296" s="15" t="s">
        <v>39</v>
      </c>
      <c r="P296" s="17">
        <f>(Post[[#This Row],[Likes]]+Post[[#This Row],[Shares]]+Post[[#This Row],[Comments]])/Post[[#This Row],[Impressions]]</f>
        <v>0.16540727459016394</v>
      </c>
      <c r="Q296" s="15">
        <f t="shared" si="14"/>
        <v>2583</v>
      </c>
      <c r="R296" s="16">
        <f>_xlfn.XLOOKUP($O296,'Campaign Data '!$A:$A,'Campaign Data '!$B:$B)</f>
        <v>45570</v>
      </c>
      <c r="S296" s="16">
        <f>_xlfn.XLOOKUP($O296,'Campaign Data '!$A:$A,'Campaign Data '!$C:$C)</f>
        <v>45601</v>
      </c>
      <c r="T296" s="15" t="str">
        <f t="shared" si="13"/>
        <v>Before</v>
      </c>
    </row>
    <row r="297" spans="1:20" ht="15">
      <c r="A297" s="15" t="s">
        <v>550</v>
      </c>
      <c r="B297" s="15" t="s">
        <v>14</v>
      </c>
      <c r="C297" s="16">
        <v>45699</v>
      </c>
      <c r="D297" s="15" t="s">
        <v>70</v>
      </c>
      <c r="E297" s="15" t="s">
        <v>71</v>
      </c>
      <c r="F297" s="15">
        <v>3440</v>
      </c>
      <c r="G297" s="15">
        <v>13</v>
      </c>
      <c r="H297" s="15">
        <v>20</v>
      </c>
      <c r="I297" s="15">
        <v>58480</v>
      </c>
      <c r="J297" s="15">
        <v>58146</v>
      </c>
      <c r="K297" s="15">
        <v>210</v>
      </c>
      <c r="L297" s="15" t="s">
        <v>584</v>
      </c>
      <c r="M297" s="15" t="s">
        <v>588</v>
      </c>
      <c r="N297" s="15" t="str">
        <f t="shared" si="12"/>
        <v>MyntraFashion,FashionDeals</v>
      </c>
      <c r="O297" s="15" t="s">
        <v>19</v>
      </c>
      <c r="P297" s="17">
        <f>(Post[[#This Row],[Likes]]+Post[[#This Row],[Shares]]+Post[[#This Row],[Comments]])/Post[[#This Row],[Impressions]]</f>
        <v>5.9387824897400819E-2</v>
      </c>
      <c r="Q297" s="15">
        <f t="shared" si="14"/>
        <v>3473</v>
      </c>
      <c r="R297" s="16">
        <f>_xlfn.XLOOKUP($O297,'Campaign Data '!$A:$A,'Campaign Data '!$B:$B)</f>
        <v>45505</v>
      </c>
      <c r="S297" s="16">
        <f>_xlfn.XLOOKUP($O297,'Campaign Data '!$A:$A,'Campaign Data '!$C:$C)</f>
        <v>45535</v>
      </c>
      <c r="T297" s="15" t="str">
        <f t="shared" si="13"/>
        <v>Before</v>
      </c>
    </row>
    <row r="298" spans="1:20" ht="15">
      <c r="A298" s="15" t="s">
        <v>552</v>
      </c>
      <c r="B298" s="15" t="s">
        <v>14</v>
      </c>
      <c r="C298" s="16">
        <v>45650</v>
      </c>
      <c r="D298" s="15" t="s">
        <v>22</v>
      </c>
      <c r="E298" s="15" t="s">
        <v>23</v>
      </c>
      <c r="F298" s="15">
        <v>2166</v>
      </c>
      <c r="G298" s="15">
        <v>354</v>
      </c>
      <c r="H298" s="15">
        <v>117</v>
      </c>
      <c r="I298" s="15">
        <v>10830</v>
      </c>
      <c r="J298" s="15">
        <v>10245</v>
      </c>
      <c r="K298" s="15">
        <v>24</v>
      </c>
      <c r="L298" s="15" t="s">
        <v>585</v>
      </c>
      <c r="M298" s="15" t="s">
        <v>586</v>
      </c>
      <c r="N298" s="15" t="str">
        <f t="shared" si="12"/>
        <v>StyleWithMyntra,MyntraTrend</v>
      </c>
      <c r="O298" s="15" t="s">
        <v>19</v>
      </c>
      <c r="P298" s="17">
        <f>(Post[[#This Row],[Likes]]+Post[[#This Row],[Shares]]+Post[[#This Row],[Comments]])/Post[[#This Row],[Impressions]]</f>
        <v>0.24349030470914126</v>
      </c>
      <c r="Q298" s="15">
        <f t="shared" si="14"/>
        <v>2637</v>
      </c>
      <c r="R298" s="16">
        <f>_xlfn.XLOOKUP($O298,'Campaign Data '!$A:$A,'Campaign Data '!$B:$B)</f>
        <v>45505</v>
      </c>
      <c r="S298" s="16">
        <f>_xlfn.XLOOKUP($O298,'Campaign Data '!$A:$A,'Campaign Data '!$C:$C)</f>
        <v>45535</v>
      </c>
      <c r="T298" s="15" t="str">
        <f t="shared" si="13"/>
        <v>Before</v>
      </c>
    </row>
    <row r="299" spans="1:20" ht="15">
      <c r="A299" s="15" t="s">
        <v>554</v>
      </c>
      <c r="B299" s="15" t="s">
        <v>41</v>
      </c>
      <c r="C299" s="16">
        <v>45589</v>
      </c>
      <c r="D299" s="15" t="s">
        <v>50</v>
      </c>
      <c r="E299" s="15" t="s">
        <v>51</v>
      </c>
      <c r="F299" s="15">
        <v>4303</v>
      </c>
      <c r="G299" s="15">
        <v>451</v>
      </c>
      <c r="H299" s="15">
        <v>286</v>
      </c>
      <c r="I299" s="15">
        <v>86060</v>
      </c>
      <c r="J299" s="15">
        <v>85823</v>
      </c>
      <c r="K299" s="15">
        <v>14</v>
      </c>
      <c r="L299" s="15" t="s">
        <v>583</v>
      </c>
      <c r="M299" s="15"/>
      <c r="N299" s="15" t="str">
        <f t="shared" si="12"/>
        <v>MyntraSale</v>
      </c>
      <c r="O299" s="15" t="s">
        <v>25</v>
      </c>
      <c r="P299" s="17">
        <f>(Post[[#This Row],[Likes]]+Post[[#This Row],[Shares]]+Post[[#This Row],[Comments]])/Post[[#This Row],[Impressions]]</f>
        <v>5.8563792702765516E-2</v>
      </c>
      <c r="Q299" s="15">
        <f t="shared" si="14"/>
        <v>5040</v>
      </c>
      <c r="R299" s="16">
        <f>_xlfn.XLOOKUP($O299,'Campaign Data '!$A:$A,'Campaign Data '!$B:$B)</f>
        <v>45453</v>
      </c>
      <c r="S299" s="16">
        <f>_xlfn.XLOOKUP($O299,'Campaign Data '!$A:$A,'Campaign Data '!$C:$C)</f>
        <v>45478</v>
      </c>
      <c r="T299" s="15" t="str">
        <f t="shared" si="13"/>
        <v>Before</v>
      </c>
    </row>
    <row r="300" spans="1:20" ht="15">
      <c r="A300" s="15" t="s">
        <v>555</v>
      </c>
      <c r="B300" s="15" t="s">
        <v>41</v>
      </c>
      <c r="C300" s="16">
        <v>45530</v>
      </c>
      <c r="D300" s="15" t="s">
        <v>50</v>
      </c>
      <c r="E300" s="15" t="s">
        <v>51</v>
      </c>
      <c r="F300" s="15">
        <v>2581</v>
      </c>
      <c r="G300" s="15">
        <v>517</v>
      </c>
      <c r="H300" s="15">
        <v>117</v>
      </c>
      <c r="I300" s="15">
        <v>23229</v>
      </c>
      <c r="J300" s="15">
        <v>22331</v>
      </c>
      <c r="K300" s="15">
        <v>70</v>
      </c>
      <c r="L300" s="15" t="s">
        <v>583</v>
      </c>
      <c r="M300" s="15" t="s">
        <v>585</v>
      </c>
      <c r="N300" s="15" t="str">
        <f t="shared" si="12"/>
        <v>MyntraSale,StyleWithMyntra</v>
      </c>
      <c r="O300" s="15" t="s">
        <v>25</v>
      </c>
      <c r="P300" s="17">
        <f>(Post[[#This Row],[Likes]]+Post[[#This Row],[Shares]]+Post[[#This Row],[Comments]])/Post[[#This Row],[Impressions]]</f>
        <v>0.13840458048129492</v>
      </c>
      <c r="Q300" s="15">
        <f t="shared" si="14"/>
        <v>3215</v>
      </c>
      <c r="R300" s="16">
        <f>_xlfn.XLOOKUP($O300,'Campaign Data '!$A:$A,'Campaign Data '!$B:$B)</f>
        <v>45453</v>
      </c>
      <c r="S300" s="16">
        <f>_xlfn.XLOOKUP($O300,'Campaign Data '!$A:$A,'Campaign Data '!$C:$C)</f>
        <v>45478</v>
      </c>
      <c r="T300" s="15" t="str">
        <f t="shared" si="13"/>
        <v>Before</v>
      </c>
    </row>
    <row r="301" spans="1:20" ht="15">
      <c r="A301" s="15" t="s">
        <v>556</v>
      </c>
      <c r="B301" s="15" t="s">
        <v>14</v>
      </c>
      <c r="C301" s="16">
        <v>45535</v>
      </c>
      <c r="D301" s="15" t="s">
        <v>43</v>
      </c>
      <c r="E301" s="15" t="s">
        <v>44</v>
      </c>
      <c r="F301" s="15">
        <v>4494</v>
      </c>
      <c r="G301" s="15">
        <v>717</v>
      </c>
      <c r="H301" s="15">
        <v>45</v>
      </c>
      <c r="I301" s="15">
        <v>62916</v>
      </c>
      <c r="J301" s="15">
        <v>62688</v>
      </c>
      <c r="K301" s="15">
        <v>191</v>
      </c>
      <c r="L301" s="15" t="s">
        <v>584</v>
      </c>
      <c r="M301" s="15"/>
      <c r="N301" s="15" t="str">
        <f t="shared" si="12"/>
        <v>MyntraFashion</v>
      </c>
      <c r="O301" s="15" t="s">
        <v>19</v>
      </c>
      <c r="P301" s="17">
        <f>(Post[[#This Row],[Likes]]+Post[[#This Row],[Shares]]+Post[[#This Row],[Comments]])/Post[[#This Row],[Impressions]]</f>
        <v>8.3539958039290485E-2</v>
      </c>
      <c r="Q301" s="15">
        <f t="shared" si="14"/>
        <v>5256</v>
      </c>
      <c r="R301" s="16">
        <f>_xlfn.XLOOKUP($O301,'Campaign Data '!$A:$A,'Campaign Data '!$B:$B)</f>
        <v>45505</v>
      </c>
      <c r="S301" s="16">
        <f>_xlfn.XLOOKUP($O301,'Campaign Data '!$A:$A,'Campaign Data '!$C:$C)</f>
        <v>45535</v>
      </c>
      <c r="T301" s="15" t="str">
        <f t="shared" si="13"/>
        <v>During</v>
      </c>
    </row>
  </sheetData>
  <mergeCells count="3">
    <mergeCell ref="V1:AA12"/>
    <mergeCell ref="V14:AA34"/>
    <mergeCell ref="AB4:AK11"/>
  </mergeCells>
  <phoneticPr fontId="3" type="noConversion"/>
  <hyperlinks>
    <hyperlink ref="AB4:AK11" r:id="rId1" display="video link :" xr:uid="{73C3F643-E5DC-4637-9E8D-094DE31ADE3C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8235-9063-4176-A0CA-CB23B81256EF}">
  <sheetPr>
    <tabColor theme="4" tint="0.79998168889431442"/>
  </sheetPr>
  <dimension ref="A1:T42"/>
  <sheetViews>
    <sheetView topLeftCell="E14" workbookViewId="0">
      <selection activeCell="K24" sqref="K24:T31"/>
    </sheetView>
  </sheetViews>
  <sheetFormatPr defaultRowHeight="15" customHeight="1"/>
  <cols>
    <col min="3" max="3" width="11.85546875" customWidth="1"/>
    <col min="4" max="4" width="15.85546875" customWidth="1"/>
    <col min="5" max="5" width="16" bestFit="1" customWidth="1"/>
    <col min="6" max="6" width="15.7109375" bestFit="1" customWidth="1"/>
    <col min="7" max="7" width="15.85546875" bestFit="1" customWidth="1"/>
    <col min="8" max="8" width="17.140625" bestFit="1" customWidth="1"/>
    <col min="9" max="9" width="12" bestFit="1" customWidth="1"/>
    <col min="10" max="10" width="13.42578125" bestFit="1" customWidth="1"/>
    <col min="11" max="11" width="17.140625" bestFit="1" customWidth="1"/>
    <col min="12" max="12" width="12" bestFit="1" customWidth="1"/>
    <col min="13" max="13" width="13.42578125" bestFit="1" customWidth="1"/>
    <col min="14" max="14" width="17.140625" bestFit="1" customWidth="1"/>
    <col min="15" max="15" width="12" bestFit="1" customWidth="1"/>
    <col min="16" max="16" width="13.42578125" bestFit="1" customWidth="1"/>
    <col min="17" max="17" width="17.140625" bestFit="1" customWidth="1"/>
    <col min="18" max="18" width="17" bestFit="1" customWidth="1"/>
    <col min="19" max="19" width="18.5703125" bestFit="1" customWidth="1"/>
    <col min="20" max="20" width="22.140625" customWidth="1"/>
    <col min="21" max="21" width="21.5703125" bestFit="1" customWidth="1"/>
  </cols>
  <sheetData>
    <row r="1" spans="1:20" ht="18.75" customHeight="1">
      <c r="A1" s="47" t="s">
        <v>589</v>
      </c>
      <c r="B1" s="48"/>
      <c r="C1" s="48"/>
      <c r="D1" s="48"/>
      <c r="E1" s="48"/>
      <c r="F1" s="49" t="s">
        <v>590</v>
      </c>
      <c r="G1" s="50"/>
      <c r="H1" s="50"/>
      <c r="I1" s="50"/>
      <c r="J1" s="50"/>
      <c r="K1" s="50"/>
      <c r="L1" s="50"/>
    </row>
    <row r="2" spans="1:20" ht="21" customHeight="1">
      <c r="A2" s="48"/>
      <c r="B2" s="48"/>
      <c r="C2" s="48"/>
      <c r="D2" s="48"/>
      <c r="E2" s="48"/>
      <c r="F2" s="51"/>
      <c r="G2" s="50"/>
      <c r="H2" s="50"/>
      <c r="I2" s="50"/>
      <c r="J2" s="50"/>
      <c r="K2" s="50"/>
      <c r="L2" s="50"/>
    </row>
    <row r="3" spans="1:20" ht="21" customHeight="1">
      <c r="A3" s="48"/>
      <c r="B3" s="48"/>
      <c r="C3" s="48"/>
      <c r="D3" s="48"/>
      <c r="E3" s="48"/>
      <c r="F3" s="51"/>
      <c r="G3" s="50"/>
      <c r="H3" s="50"/>
      <c r="I3" s="50"/>
      <c r="J3" s="50"/>
      <c r="K3" s="50"/>
      <c r="L3" s="50"/>
    </row>
    <row r="4" spans="1:20" ht="15" customHeight="1">
      <c r="A4" s="48"/>
      <c r="B4" s="48"/>
      <c r="C4" s="48"/>
      <c r="D4" s="48"/>
      <c r="E4" s="48"/>
      <c r="F4" s="51"/>
      <c r="G4" s="50"/>
      <c r="H4" s="50"/>
      <c r="I4" s="50"/>
      <c r="J4" s="50"/>
      <c r="K4" s="50"/>
      <c r="L4" s="50"/>
    </row>
    <row r="5" spans="1:20">
      <c r="A5" s="48"/>
      <c r="B5" s="48"/>
      <c r="C5" s="48"/>
      <c r="D5" s="48"/>
      <c r="E5" s="48"/>
      <c r="F5" s="51"/>
      <c r="G5" s="50"/>
      <c r="H5" s="50"/>
      <c r="I5" s="50"/>
      <c r="J5" s="50"/>
      <c r="K5" s="50"/>
      <c r="L5" s="50"/>
    </row>
    <row r="6" spans="1:20"/>
    <row r="7" spans="1:20"/>
    <row r="8" spans="1:20" ht="29.25">
      <c r="C8" s="28" t="s">
        <v>591</v>
      </c>
      <c r="D8" s="7"/>
      <c r="E8" s="23" t="s">
        <v>592</v>
      </c>
    </row>
    <row r="9" spans="1:20">
      <c r="C9" s="14" t="s">
        <v>593</v>
      </c>
      <c r="F9" s="3" t="s">
        <v>594</v>
      </c>
    </row>
    <row r="10" spans="1:20">
      <c r="C10" s="6">
        <v>1.8129</v>
      </c>
      <c r="F10" t="s">
        <v>41</v>
      </c>
      <c r="I10" t="s">
        <v>31</v>
      </c>
      <c r="L10" t="s">
        <v>14</v>
      </c>
      <c r="O10" t="s">
        <v>27</v>
      </c>
      <c r="R10" t="s">
        <v>595</v>
      </c>
      <c r="S10" t="s">
        <v>596</v>
      </c>
      <c r="T10" t="s">
        <v>597</v>
      </c>
    </row>
    <row r="11" spans="1:20">
      <c r="C11" s="6">
        <v>0.86599999999999999</v>
      </c>
      <c r="E11" s="3" t="s">
        <v>3</v>
      </c>
      <c r="F11" t="s">
        <v>598</v>
      </c>
      <c r="G11" t="s">
        <v>599</v>
      </c>
      <c r="H11" t="s">
        <v>600</v>
      </c>
      <c r="I11" t="s">
        <v>598</v>
      </c>
      <c r="J11" t="s">
        <v>599</v>
      </c>
      <c r="K11" t="s">
        <v>600</v>
      </c>
      <c r="L11" t="s">
        <v>598</v>
      </c>
      <c r="M11" t="s">
        <v>599</v>
      </c>
      <c r="N11" t="s">
        <v>600</v>
      </c>
      <c r="O11" t="s">
        <v>598</v>
      </c>
      <c r="P11" t="s">
        <v>599</v>
      </c>
      <c r="Q11" t="s">
        <v>600</v>
      </c>
    </row>
    <row r="12" spans="1:20">
      <c r="C12" s="6">
        <v>0.71689999999999998</v>
      </c>
      <c r="E12" s="4" t="s">
        <v>43</v>
      </c>
      <c r="F12" s="12">
        <v>44476</v>
      </c>
      <c r="G12" s="12">
        <v>7400</v>
      </c>
      <c r="H12" s="12">
        <v>4589</v>
      </c>
      <c r="I12" s="12">
        <v>43948</v>
      </c>
      <c r="J12" s="12">
        <v>6975</v>
      </c>
      <c r="K12" s="12">
        <v>3890</v>
      </c>
      <c r="L12" s="12">
        <v>48649</v>
      </c>
      <c r="M12" s="12">
        <v>5791</v>
      </c>
      <c r="N12" s="12">
        <v>3607</v>
      </c>
      <c r="O12" s="12">
        <v>24926</v>
      </c>
      <c r="P12" s="12">
        <v>6305</v>
      </c>
      <c r="Q12" s="12">
        <v>2422</v>
      </c>
      <c r="R12" s="12">
        <v>161999</v>
      </c>
      <c r="S12" s="12">
        <v>26471</v>
      </c>
      <c r="T12" s="12">
        <v>14508</v>
      </c>
    </row>
    <row r="13" spans="1:20">
      <c r="C13" s="6">
        <v>0.70389999999999997</v>
      </c>
      <c r="E13" s="4" t="s">
        <v>50</v>
      </c>
      <c r="F13" s="12">
        <v>71602</v>
      </c>
      <c r="G13" s="12">
        <v>12904</v>
      </c>
      <c r="H13" s="12">
        <v>6495</v>
      </c>
      <c r="I13" s="12">
        <v>34202</v>
      </c>
      <c r="J13" s="12">
        <v>5286</v>
      </c>
      <c r="K13" s="12">
        <v>2655</v>
      </c>
      <c r="L13" s="12">
        <v>43761</v>
      </c>
      <c r="M13" s="12">
        <v>7110</v>
      </c>
      <c r="N13" s="12">
        <v>5125</v>
      </c>
      <c r="O13" s="12">
        <v>23903</v>
      </c>
      <c r="P13" s="12">
        <v>4310</v>
      </c>
      <c r="Q13" s="12">
        <v>2077</v>
      </c>
      <c r="R13" s="12">
        <v>173468</v>
      </c>
      <c r="S13" s="12">
        <v>29610</v>
      </c>
      <c r="T13" s="12">
        <v>16352</v>
      </c>
    </row>
    <row r="14" spans="1:20">
      <c r="C14" s="6">
        <v>0.65080000000000005</v>
      </c>
      <c r="E14" s="4" t="s">
        <v>16</v>
      </c>
      <c r="F14" s="12">
        <v>36368</v>
      </c>
      <c r="G14" s="12">
        <v>5964</v>
      </c>
      <c r="H14" s="12">
        <v>3353</v>
      </c>
      <c r="I14" s="12">
        <v>32148</v>
      </c>
      <c r="J14" s="12">
        <v>8110</v>
      </c>
      <c r="K14" s="12">
        <v>3386</v>
      </c>
      <c r="L14" s="12">
        <v>27029</v>
      </c>
      <c r="M14" s="12">
        <v>4550</v>
      </c>
      <c r="N14" s="12">
        <v>1913</v>
      </c>
      <c r="O14" s="12">
        <v>32400</v>
      </c>
      <c r="P14" s="12">
        <v>4577</v>
      </c>
      <c r="Q14" s="12">
        <v>2668</v>
      </c>
      <c r="R14" s="12">
        <v>127945</v>
      </c>
      <c r="S14" s="12">
        <v>23201</v>
      </c>
      <c r="T14" s="12">
        <v>11320</v>
      </c>
    </row>
    <row r="15" spans="1:20">
      <c r="C15" s="6">
        <v>0.53769999999999996</v>
      </c>
      <c r="E15" s="4" t="s">
        <v>33</v>
      </c>
      <c r="F15" s="12">
        <v>29405</v>
      </c>
      <c r="G15" s="12">
        <v>4950</v>
      </c>
      <c r="H15" s="12">
        <v>3223</v>
      </c>
      <c r="I15" s="12">
        <v>42649</v>
      </c>
      <c r="J15" s="12">
        <v>10049</v>
      </c>
      <c r="K15" s="12">
        <v>3846</v>
      </c>
      <c r="L15" s="12">
        <v>20466</v>
      </c>
      <c r="M15" s="12">
        <v>5090</v>
      </c>
      <c r="N15" s="12">
        <v>3026</v>
      </c>
      <c r="O15" s="12">
        <v>31968</v>
      </c>
      <c r="P15" s="12">
        <v>3866</v>
      </c>
      <c r="Q15" s="12">
        <v>2012</v>
      </c>
      <c r="R15" s="12">
        <v>124488</v>
      </c>
      <c r="S15" s="12">
        <v>23955</v>
      </c>
      <c r="T15" s="12">
        <v>12107</v>
      </c>
    </row>
    <row r="16" spans="1:20">
      <c r="C16" s="6">
        <v>0.53390000000000004</v>
      </c>
      <c r="E16" s="4" t="s">
        <v>22</v>
      </c>
      <c r="F16" s="12">
        <v>31963</v>
      </c>
      <c r="G16" s="12">
        <v>4792</v>
      </c>
      <c r="H16" s="12">
        <v>3377</v>
      </c>
      <c r="I16" s="12">
        <v>25567</v>
      </c>
      <c r="J16" s="12">
        <v>5112</v>
      </c>
      <c r="K16" s="12">
        <v>1946</v>
      </c>
      <c r="L16" s="12">
        <v>31899</v>
      </c>
      <c r="M16" s="12">
        <v>4861</v>
      </c>
      <c r="N16" s="12">
        <v>3910</v>
      </c>
      <c r="O16" s="12">
        <v>27067</v>
      </c>
      <c r="P16" s="12">
        <v>3928</v>
      </c>
      <c r="Q16" s="12">
        <v>1052</v>
      </c>
      <c r="R16" s="12">
        <v>116496</v>
      </c>
      <c r="S16" s="12">
        <v>18693</v>
      </c>
      <c r="T16" s="12">
        <v>10285</v>
      </c>
    </row>
    <row r="17" spans="3:20">
      <c r="C17" s="6">
        <v>0.50190000000000001</v>
      </c>
      <c r="E17" s="4" t="s">
        <v>70</v>
      </c>
      <c r="F17" s="12">
        <v>28947</v>
      </c>
      <c r="G17" s="12">
        <v>3171</v>
      </c>
      <c r="H17" s="12">
        <v>2263</v>
      </c>
      <c r="I17" s="12">
        <v>25770</v>
      </c>
      <c r="J17" s="12">
        <v>5912</v>
      </c>
      <c r="K17" s="12">
        <v>2128</v>
      </c>
      <c r="L17" s="12">
        <v>29593</v>
      </c>
      <c r="M17" s="12">
        <v>6326</v>
      </c>
      <c r="N17" s="12">
        <v>3299</v>
      </c>
      <c r="O17" s="12">
        <v>31285</v>
      </c>
      <c r="P17" s="12">
        <v>5586</v>
      </c>
      <c r="Q17" s="12">
        <v>2589</v>
      </c>
      <c r="R17" s="12">
        <v>115595</v>
      </c>
      <c r="S17" s="12">
        <v>20995</v>
      </c>
      <c r="T17" s="12">
        <v>10279</v>
      </c>
    </row>
    <row r="18" spans="3:20">
      <c r="C18" s="6">
        <v>0.48520000000000002</v>
      </c>
      <c r="E18" s="4" t="s">
        <v>601</v>
      </c>
      <c r="F18" s="12">
        <v>242761</v>
      </c>
      <c r="G18" s="12">
        <v>39181</v>
      </c>
      <c r="H18" s="12">
        <v>23300</v>
      </c>
      <c r="I18" s="12">
        <v>204284</v>
      </c>
      <c r="J18" s="12">
        <v>41444</v>
      </c>
      <c r="K18" s="12">
        <v>17851</v>
      </c>
      <c r="L18" s="12">
        <v>201397</v>
      </c>
      <c r="M18" s="12">
        <v>33728</v>
      </c>
      <c r="N18" s="12">
        <v>20880</v>
      </c>
      <c r="O18" s="12">
        <v>171549</v>
      </c>
      <c r="P18" s="12">
        <v>28572</v>
      </c>
      <c r="Q18" s="12">
        <v>12820</v>
      </c>
      <c r="R18" s="12">
        <v>819991</v>
      </c>
      <c r="S18" s="12">
        <v>142925</v>
      </c>
      <c r="T18" s="12">
        <v>74851</v>
      </c>
    </row>
    <row r="19" spans="3:20">
      <c r="C19" s="6">
        <v>0.38269999999999998</v>
      </c>
    </row>
    <row r="20" spans="3:20">
      <c r="C20" s="6"/>
    </row>
    <row r="21" spans="3:20">
      <c r="C21" s="6"/>
    </row>
    <row r="22" spans="3:20"/>
    <row r="23" spans="3:20"/>
    <row r="24" spans="3:20" ht="21">
      <c r="C24" s="22" t="s">
        <v>602</v>
      </c>
      <c r="D24" s="19"/>
      <c r="F24" s="25" t="s">
        <v>603</v>
      </c>
      <c r="G24" s="19"/>
      <c r="I24" s="5"/>
      <c r="K24" s="43" t="s">
        <v>35</v>
      </c>
      <c r="L24" s="43"/>
      <c r="M24" s="43"/>
      <c r="N24" s="43"/>
      <c r="O24" s="43"/>
      <c r="P24" s="43"/>
      <c r="Q24" s="43"/>
      <c r="R24" s="43"/>
      <c r="S24" s="43"/>
      <c r="T24" s="43"/>
    </row>
    <row r="25" spans="3:20">
      <c r="C25" s="3" t="s">
        <v>1</v>
      </c>
      <c r="D25" t="s">
        <v>604</v>
      </c>
      <c r="F25" s="3" t="s">
        <v>1</v>
      </c>
      <c r="G25" t="s">
        <v>604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 spans="3:20">
      <c r="C26" s="4" t="s">
        <v>14</v>
      </c>
      <c r="D26" s="26">
        <v>156.9367088607595</v>
      </c>
      <c r="F26" s="4" t="s">
        <v>588</v>
      </c>
      <c r="G26" s="12">
        <v>159.76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3:20">
      <c r="C27" s="4" t="s">
        <v>31</v>
      </c>
      <c r="D27" s="26">
        <v>152.8860759493671</v>
      </c>
      <c r="F27" s="4" t="s">
        <v>584</v>
      </c>
      <c r="G27" s="12">
        <v>141.34545454545454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spans="3:20" ht="15" customHeight="1">
      <c r="C28" s="4" t="s">
        <v>27</v>
      </c>
      <c r="D28" s="12">
        <v>147.5593220338983</v>
      </c>
      <c r="F28" s="4" t="s">
        <v>583</v>
      </c>
      <c r="G28" s="12">
        <v>145.92753623188406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 spans="3:20" ht="15" customHeight="1">
      <c r="C29" s="4" t="s">
        <v>41</v>
      </c>
      <c r="D29" s="27">
        <v>146.79518072289156</v>
      </c>
      <c r="F29" s="42" t="s">
        <v>586</v>
      </c>
      <c r="G29" s="12">
        <v>170.23333333333332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 spans="3:20" ht="15" customHeight="1">
      <c r="C30" s="4" t="s">
        <v>601</v>
      </c>
      <c r="D30" s="12">
        <v>151.22</v>
      </c>
      <c r="F30" s="4" t="s">
        <v>585</v>
      </c>
      <c r="G30" s="12">
        <v>141.22727272727272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 spans="3:20" ht="15" customHeight="1"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5"/>
    <row r="37"/>
    <row r="38"/>
    <row r="39"/>
    <row r="40"/>
    <row r="41"/>
    <row r="42"/>
  </sheetData>
  <mergeCells count="3">
    <mergeCell ref="A1:E5"/>
    <mergeCell ref="F1:L5"/>
    <mergeCell ref="K24:T31"/>
  </mergeCells>
  <conditionalFormatting sqref="A1:E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K24:T31" r:id="rId4" display="video link :" xr:uid="{50221F35-883A-49C8-A345-61AE2831E950}"/>
  </hyperlinks>
  <pageMargins left="0.7" right="0.7" top="0.75" bottom="0.75" header="0.3" footer="0.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8928-D52D-48A1-9F90-304DB518A808}">
  <sheetPr>
    <tabColor theme="4" tint="0.59999389629810485"/>
  </sheetPr>
  <dimension ref="A1:S53"/>
  <sheetViews>
    <sheetView topLeftCell="A31" workbookViewId="0">
      <selection activeCell="J46" sqref="J46:S53"/>
    </sheetView>
  </sheetViews>
  <sheetFormatPr defaultRowHeight="15" customHeight="1"/>
  <cols>
    <col min="2" max="2" width="13.85546875" bestFit="1" customWidth="1"/>
    <col min="3" max="3" width="16" bestFit="1" customWidth="1"/>
    <col min="9" max="9" width="11.85546875" bestFit="1" customWidth="1"/>
    <col min="10" max="10" width="26.5703125" bestFit="1" customWidth="1"/>
    <col min="11" max="11" width="20" bestFit="1" customWidth="1"/>
  </cols>
  <sheetData>
    <row r="1" spans="1:10" ht="15" customHeight="1">
      <c r="A1" s="52" t="s">
        <v>605</v>
      </c>
      <c r="B1" s="53"/>
      <c r="C1" s="53"/>
      <c r="D1" s="53"/>
      <c r="E1" s="54"/>
    </row>
    <row r="2" spans="1:10" ht="15" customHeight="1">
      <c r="A2" s="55"/>
      <c r="B2" s="56"/>
      <c r="C2" s="56"/>
      <c r="D2" s="56"/>
      <c r="E2" s="57"/>
    </row>
    <row r="3" spans="1:10" ht="21">
      <c r="A3" s="55"/>
      <c r="B3" s="56"/>
      <c r="C3" s="56"/>
      <c r="D3" s="56"/>
      <c r="E3" s="57"/>
      <c r="J3" s="5"/>
    </row>
    <row r="4" spans="1:10" ht="15" customHeight="1">
      <c r="A4" s="55"/>
      <c r="B4" s="56"/>
      <c r="C4" s="56"/>
      <c r="D4" s="56"/>
      <c r="E4" s="57"/>
    </row>
    <row r="5" spans="1:10">
      <c r="A5" s="58"/>
      <c r="B5" s="59"/>
      <c r="C5" s="59"/>
      <c r="D5" s="59"/>
      <c r="E5" s="60"/>
    </row>
    <row r="7" spans="1:10">
      <c r="B7" s="3" t="s">
        <v>606</v>
      </c>
      <c r="C7" t="s">
        <v>607</v>
      </c>
    </row>
    <row r="8" spans="1:10" ht="21">
      <c r="B8" s="4" t="s">
        <v>41</v>
      </c>
      <c r="C8" s="12">
        <v>5.6486000000000001</v>
      </c>
      <c r="J8" s="8"/>
    </row>
    <row r="9" spans="1:10">
      <c r="B9" s="34" t="s">
        <v>31</v>
      </c>
      <c r="C9" s="35">
        <v>5.7156000000000002</v>
      </c>
    </row>
    <row r="10" spans="1:10">
      <c r="B10" s="4" t="s">
        <v>14</v>
      </c>
      <c r="C10" s="12">
        <v>5.6558000000000002</v>
      </c>
    </row>
    <row r="11" spans="1:10">
      <c r="B11" s="4" t="s">
        <v>27</v>
      </c>
      <c r="C11" s="12">
        <v>5.5587999999999997</v>
      </c>
    </row>
    <row r="12" spans="1:10"/>
    <row r="24" spans="9:10">
      <c r="I24" s="3" t="s">
        <v>608</v>
      </c>
      <c r="J24" t="s">
        <v>609</v>
      </c>
    </row>
    <row r="25" spans="9:10">
      <c r="I25" s="4" t="s">
        <v>41</v>
      </c>
      <c r="J25" s="12">
        <v>35557</v>
      </c>
    </row>
    <row r="26" spans="9:10">
      <c r="I26" s="4" t="s">
        <v>31</v>
      </c>
      <c r="J26" s="40">
        <v>48004</v>
      </c>
    </row>
    <row r="27" spans="9:10">
      <c r="I27" s="4" t="s">
        <v>14</v>
      </c>
      <c r="J27" s="12">
        <v>41177</v>
      </c>
    </row>
    <row r="28" spans="9:10">
      <c r="I28" s="4" t="s">
        <v>27</v>
      </c>
      <c r="J28" s="12">
        <v>35367</v>
      </c>
    </row>
    <row r="29" spans="9:10">
      <c r="I29" s="4" t="s">
        <v>601</v>
      </c>
      <c r="J29" s="12">
        <v>160105</v>
      </c>
    </row>
    <row r="33" spans="2:19" ht="15" customHeight="1">
      <c r="I33" s="3" t="s">
        <v>1</v>
      </c>
      <c r="J33" t="s">
        <v>610</v>
      </c>
      <c r="K33" t="s">
        <v>611</v>
      </c>
    </row>
    <row r="34" spans="2:19" ht="15" customHeight="1">
      <c r="I34" t="s">
        <v>41</v>
      </c>
      <c r="J34" s="12">
        <v>711.14</v>
      </c>
      <c r="K34" s="12">
        <v>27590.78</v>
      </c>
    </row>
    <row r="35" spans="2:19" ht="15" customHeight="1">
      <c r="I35" t="s">
        <v>31</v>
      </c>
      <c r="J35" s="12">
        <v>960.08</v>
      </c>
      <c r="K35" s="12">
        <v>23287.46</v>
      </c>
    </row>
    <row r="36" spans="2:19" ht="15" customHeight="1">
      <c r="I36" t="s">
        <v>14</v>
      </c>
      <c r="J36" s="12">
        <v>823.54</v>
      </c>
      <c r="K36" s="12">
        <v>21207.14</v>
      </c>
    </row>
    <row r="37" spans="2:19" ht="15" customHeight="1">
      <c r="I37" t="s">
        <v>27</v>
      </c>
      <c r="J37" s="12">
        <v>707.34</v>
      </c>
      <c r="K37" s="12">
        <v>24572.94</v>
      </c>
    </row>
    <row r="38" spans="2:19" ht="15" customHeight="1">
      <c r="I38" t="s">
        <v>601</v>
      </c>
      <c r="J38" s="12">
        <v>800.52499999999998</v>
      </c>
      <c r="K38" s="12">
        <v>24164.58</v>
      </c>
    </row>
    <row r="45" spans="2:19" ht="15" customHeight="1">
      <c r="B45" s="61" t="s">
        <v>612</v>
      </c>
      <c r="C45" s="61"/>
      <c r="D45" s="61"/>
      <c r="E45" s="61"/>
    </row>
    <row r="46" spans="2:19" ht="15" customHeight="1">
      <c r="B46" s="61"/>
      <c r="C46" s="61"/>
      <c r="D46" s="61"/>
      <c r="E46" s="61"/>
      <c r="J46" s="43" t="s">
        <v>35</v>
      </c>
      <c r="K46" s="43"/>
      <c r="L46" s="43"/>
      <c r="M46" s="43"/>
      <c r="N46" s="43"/>
      <c r="O46" s="43"/>
      <c r="P46" s="43"/>
      <c r="Q46" s="43"/>
      <c r="R46" s="43"/>
      <c r="S46" s="43"/>
    </row>
    <row r="47" spans="2:19" ht="15" customHeight="1">
      <c r="B47" s="61"/>
      <c r="C47" s="61"/>
      <c r="D47" s="61"/>
      <c r="E47" s="61"/>
      <c r="J47" s="43"/>
      <c r="K47" s="43"/>
      <c r="L47" s="43"/>
      <c r="M47" s="43"/>
      <c r="N47" s="43"/>
      <c r="O47" s="43"/>
      <c r="P47" s="43"/>
      <c r="Q47" s="43"/>
      <c r="R47" s="43"/>
      <c r="S47" s="43"/>
    </row>
    <row r="48" spans="2:19" ht="15" customHeight="1">
      <c r="B48" s="61"/>
      <c r="C48" s="61"/>
      <c r="D48" s="61"/>
      <c r="E48" s="61"/>
      <c r="J48" s="43"/>
      <c r="K48" s="43"/>
      <c r="L48" s="43"/>
      <c r="M48" s="43"/>
      <c r="N48" s="43"/>
      <c r="O48" s="43"/>
      <c r="P48" s="43"/>
      <c r="Q48" s="43"/>
      <c r="R48" s="43"/>
      <c r="S48" s="43"/>
    </row>
    <row r="49" spans="10:19" ht="15" customHeight="1"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10:19" ht="15" customHeight="1">
      <c r="J50" s="43"/>
      <c r="K50" s="43"/>
      <c r="L50" s="43"/>
      <c r="M50" s="43"/>
      <c r="N50" s="43"/>
      <c r="O50" s="43"/>
      <c r="P50" s="43"/>
      <c r="Q50" s="43"/>
      <c r="R50" s="43"/>
      <c r="S50" s="43"/>
    </row>
    <row r="51" spans="10:19" ht="15" customHeight="1"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spans="10:19" ht="15" customHeight="1"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 spans="10:19" ht="15" customHeight="1">
      <c r="J53" s="43"/>
      <c r="K53" s="43"/>
      <c r="L53" s="43"/>
      <c r="M53" s="43"/>
      <c r="N53" s="43"/>
      <c r="O53" s="43"/>
      <c r="P53" s="43"/>
      <c r="Q53" s="43"/>
      <c r="R53" s="43"/>
      <c r="S53" s="43"/>
    </row>
  </sheetData>
  <mergeCells count="3">
    <mergeCell ref="A1:E5"/>
    <mergeCell ref="B45:E48"/>
    <mergeCell ref="J46:S53"/>
  </mergeCells>
  <conditionalFormatting sqref="A1:E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J46:S53" r:id="rId4" display="video link :" xr:uid="{D38FB271-B74E-4E33-B3A1-617F1C17FF20}"/>
  </hyperlinks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0758-7F06-4128-9176-9A7F340EE9D0}">
  <sheetPr>
    <tabColor theme="4" tint="0.39997558519241921"/>
  </sheetPr>
  <dimension ref="A1:Q33"/>
  <sheetViews>
    <sheetView topLeftCell="A4" workbookViewId="0">
      <selection activeCell="H19" sqref="H19:Q26"/>
    </sheetView>
  </sheetViews>
  <sheetFormatPr defaultRowHeight="15"/>
  <cols>
    <col min="3" max="3" width="16" bestFit="1" customWidth="1"/>
    <col min="4" max="4" width="15.28515625" bestFit="1" customWidth="1"/>
    <col min="5" max="5" width="27.140625" bestFit="1" customWidth="1"/>
    <col min="6" max="9" width="7.28515625" bestFit="1" customWidth="1"/>
    <col min="10" max="10" width="11.42578125" bestFit="1" customWidth="1"/>
    <col min="11" max="11" width="18.5703125" bestFit="1" customWidth="1"/>
    <col min="12" max="12" width="17" bestFit="1" customWidth="1"/>
    <col min="13" max="13" width="36.5703125" bestFit="1" customWidth="1"/>
    <col min="14" max="14" width="26.28515625" bestFit="1" customWidth="1"/>
    <col min="15" max="15" width="15.28515625" bestFit="1" customWidth="1"/>
  </cols>
  <sheetData>
    <row r="1" spans="1:11" ht="14.45" customHeight="1">
      <c r="A1" s="52" t="s">
        <v>613</v>
      </c>
      <c r="B1" s="62"/>
      <c r="C1" s="62"/>
      <c r="D1" s="62"/>
      <c r="E1" s="63"/>
    </row>
    <row r="2" spans="1:11" ht="14.45" customHeight="1">
      <c r="A2" s="64"/>
      <c r="B2" s="65"/>
      <c r="C2" s="65"/>
      <c r="D2" s="65"/>
      <c r="E2" s="66"/>
    </row>
    <row r="3" spans="1:11" ht="21" customHeight="1">
      <c r="A3" s="64"/>
      <c r="B3" s="65"/>
      <c r="C3" s="65"/>
      <c r="D3" s="65"/>
      <c r="E3" s="66"/>
    </row>
    <row r="4" spans="1:11" ht="21" customHeight="1">
      <c r="A4" s="64"/>
      <c r="B4" s="65"/>
      <c r="C4" s="65"/>
      <c r="D4" s="65"/>
      <c r="E4" s="66"/>
      <c r="K4" s="18"/>
    </row>
    <row r="5" spans="1:11" ht="30.75" customHeight="1">
      <c r="A5" s="67"/>
      <c r="B5" s="68"/>
      <c r="C5" s="68"/>
      <c r="D5" s="68"/>
      <c r="E5" s="69"/>
    </row>
    <row r="7" spans="1:11" ht="29.25">
      <c r="C7" s="29" t="s">
        <v>614</v>
      </c>
      <c r="D7" s="19"/>
      <c r="F7" s="23" t="s">
        <v>615</v>
      </c>
      <c r="G7" s="19"/>
      <c r="H7" s="19"/>
    </row>
    <row r="8" spans="1:11">
      <c r="C8" s="3" t="s">
        <v>616</v>
      </c>
      <c r="D8" t="s">
        <v>617</v>
      </c>
      <c r="F8" s="3" t="s">
        <v>616</v>
      </c>
      <c r="G8" t="s">
        <v>618</v>
      </c>
      <c r="H8" t="s">
        <v>604</v>
      </c>
    </row>
    <row r="9" spans="1:11">
      <c r="C9" s="4" t="s">
        <v>588</v>
      </c>
      <c r="D9" s="12">
        <v>50</v>
      </c>
      <c r="F9" s="4" t="s">
        <v>588</v>
      </c>
      <c r="G9" s="6">
        <v>0.13041433603338276</v>
      </c>
      <c r="H9" s="12">
        <v>159.76</v>
      </c>
    </row>
    <row r="10" spans="1:11">
      <c r="C10" s="4" t="s">
        <v>584</v>
      </c>
      <c r="D10" s="12">
        <v>55</v>
      </c>
      <c r="F10" s="4" t="s">
        <v>584</v>
      </c>
      <c r="G10" s="6">
        <v>0.13871112390953166</v>
      </c>
      <c r="H10" s="12">
        <v>141.34545454545454</v>
      </c>
    </row>
    <row r="11" spans="1:11">
      <c r="C11" s="34" t="s">
        <v>583</v>
      </c>
      <c r="D11" s="35">
        <v>69</v>
      </c>
      <c r="F11" s="4" t="s">
        <v>583</v>
      </c>
      <c r="G11" s="6">
        <v>0.15121442633703716</v>
      </c>
      <c r="H11" s="12">
        <v>145.92753623188406</v>
      </c>
    </row>
    <row r="12" spans="1:11">
      <c r="C12" s="4" t="s">
        <v>586</v>
      </c>
      <c r="D12" s="12">
        <v>60</v>
      </c>
      <c r="F12" s="4" t="s">
        <v>586</v>
      </c>
      <c r="G12" s="6">
        <v>0.14221518418980844</v>
      </c>
      <c r="H12" s="12">
        <v>170.23333333333332</v>
      </c>
    </row>
    <row r="13" spans="1:11">
      <c r="C13" s="4" t="s">
        <v>585</v>
      </c>
      <c r="D13" s="12">
        <v>66</v>
      </c>
      <c r="F13" s="4" t="s">
        <v>585</v>
      </c>
      <c r="G13" s="6">
        <v>0.17224670233668321</v>
      </c>
      <c r="H13" s="12">
        <v>141.22727272727272</v>
      </c>
    </row>
    <row r="16" spans="1:11">
      <c r="C16" s="25" t="s">
        <v>619</v>
      </c>
      <c r="D16" s="19"/>
      <c r="E16" s="19"/>
    </row>
    <row r="17" spans="3:17">
      <c r="C17" s="3" t="s">
        <v>3</v>
      </c>
      <c r="D17" t="s">
        <v>620</v>
      </c>
      <c r="E17" t="s">
        <v>618</v>
      </c>
    </row>
    <row r="18" spans="3:17">
      <c r="C18" s="4" t="s">
        <v>43</v>
      </c>
      <c r="D18" s="12">
        <v>2745.7457627118642</v>
      </c>
      <c r="E18" s="6">
        <v>0.14814919934149989</v>
      </c>
    </row>
    <row r="19" spans="3:17">
      <c r="C19" s="4" t="s">
        <v>50</v>
      </c>
      <c r="D19" s="12">
        <v>2753.4603174603176</v>
      </c>
      <c r="E19" s="6">
        <v>0.13687494054869698</v>
      </c>
      <c r="H19" s="43" t="s">
        <v>35</v>
      </c>
      <c r="I19" s="43"/>
      <c r="J19" s="43"/>
      <c r="K19" s="43"/>
      <c r="L19" s="43"/>
      <c r="M19" s="43"/>
      <c r="N19" s="43"/>
      <c r="O19" s="43"/>
      <c r="P19" s="43"/>
      <c r="Q19" s="43"/>
    </row>
    <row r="20" spans="3:17">
      <c r="C20" s="4" t="s">
        <v>70</v>
      </c>
      <c r="D20" s="12">
        <v>2688.2558139534885</v>
      </c>
      <c r="E20" s="6">
        <v>0.14814844474464281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3:17">
      <c r="H21" s="43"/>
      <c r="I21" s="43"/>
      <c r="J21" s="43"/>
      <c r="K21" s="43"/>
      <c r="L21" s="43"/>
      <c r="M21" s="43"/>
      <c r="N21" s="43"/>
      <c r="O21" s="43"/>
      <c r="P21" s="43"/>
      <c r="Q21" s="43"/>
    </row>
    <row r="22" spans="3:17">
      <c r="H22" s="43"/>
      <c r="I22" s="43"/>
      <c r="J22" s="43"/>
      <c r="K22" s="43"/>
      <c r="L22" s="43"/>
      <c r="M22" s="43"/>
      <c r="N22" s="43"/>
      <c r="O22" s="43"/>
      <c r="P22" s="43"/>
      <c r="Q22" s="43"/>
    </row>
    <row r="23" spans="3:17">
      <c r="H23" s="43"/>
      <c r="I23" s="43"/>
      <c r="J23" s="43"/>
      <c r="K23" s="43"/>
      <c r="L23" s="43"/>
      <c r="M23" s="43"/>
      <c r="N23" s="43"/>
      <c r="O23" s="43"/>
      <c r="P23" s="43"/>
      <c r="Q23" s="43"/>
    </row>
    <row r="24" spans="3:17">
      <c r="H24" s="43"/>
      <c r="I24" s="43"/>
      <c r="J24" s="43"/>
      <c r="K24" s="43"/>
      <c r="L24" s="43"/>
      <c r="M24" s="43"/>
      <c r="N24" s="43"/>
      <c r="O24" s="43"/>
      <c r="P24" s="43"/>
      <c r="Q24" s="43"/>
    </row>
    <row r="25" spans="3:17">
      <c r="H25" s="43"/>
      <c r="I25" s="43"/>
      <c r="J25" s="43"/>
      <c r="K25" s="43"/>
      <c r="L25" s="43"/>
      <c r="M25" s="43"/>
      <c r="N25" s="43"/>
      <c r="O25" s="43"/>
      <c r="P25" s="43"/>
      <c r="Q25" s="43"/>
    </row>
    <row r="26" spans="3:17" ht="14.45" customHeight="1">
      <c r="C26" s="41" t="s">
        <v>621</v>
      </c>
      <c r="D26" s="41"/>
      <c r="E26" s="41"/>
      <c r="F26" s="41"/>
      <c r="G26" s="41"/>
      <c r="H26" s="43"/>
      <c r="I26" s="43"/>
      <c r="J26" s="43"/>
      <c r="K26" s="43"/>
      <c r="L26" s="43"/>
      <c r="M26" s="43"/>
      <c r="N26" s="43"/>
      <c r="O26" s="43"/>
      <c r="P26" s="43"/>
      <c r="Q26" s="43"/>
    </row>
    <row r="27" spans="3:17">
      <c r="C27" s="3" t="s">
        <v>618</v>
      </c>
      <c r="D27" s="3" t="s">
        <v>3</v>
      </c>
    </row>
    <row r="28" spans="3:17">
      <c r="C28" s="3" t="s">
        <v>1</v>
      </c>
      <c r="D28" t="s">
        <v>43</v>
      </c>
      <c r="E28" t="s">
        <v>50</v>
      </c>
      <c r="F28" t="s">
        <v>16</v>
      </c>
      <c r="G28" t="s">
        <v>33</v>
      </c>
      <c r="H28" t="s">
        <v>22</v>
      </c>
      <c r="I28" t="s">
        <v>70</v>
      </c>
      <c r="J28" t="s">
        <v>601</v>
      </c>
    </row>
    <row r="29" spans="3:17">
      <c r="C29" s="4" t="s">
        <v>41</v>
      </c>
      <c r="D29" s="6">
        <v>0.11820589815604367</v>
      </c>
      <c r="E29" s="6">
        <v>0.11892682975133068</v>
      </c>
      <c r="F29" s="6">
        <v>0.10810248159985612</v>
      </c>
      <c r="G29" s="6">
        <v>0.15898977777988452</v>
      </c>
      <c r="H29" s="6">
        <v>0.1074395128551284</v>
      </c>
      <c r="I29" s="6">
        <v>0.12899653614759149</v>
      </c>
      <c r="J29" s="6">
        <v>0.12197289956132554</v>
      </c>
    </row>
    <row r="30" spans="3:17">
      <c r="C30" s="4" t="s">
        <v>31</v>
      </c>
      <c r="D30" s="6">
        <v>0.14439860032256024</v>
      </c>
      <c r="E30" s="6">
        <v>0.14929862484025289</v>
      </c>
      <c r="F30" s="6">
        <v>0.26004033206333965</v>
      </c>
      <c r="G30" s="6">
        <v>0.24558274253543633</v>
      </c>
      <c r="H30" s="6">
        <v>0.12920449104190176</v>
      </c>
      <c r="I30" s="6">
        <v>0.2062396061640541</v>
      </c>
      <c r="J30" s="6">
        <v>0.19329257693923479</v>
      </c>
    </row>
    <row r="31" spans="3:17">
      <c r="C31" s="4" t="s">
        <v>14</v>
      </c>
      <c r="D31" s="6">
        <v>0.15972488239914528</v>
      </c>
      <c r="E31" s="6">
        <v>0.14756648191377314</v>
      </c>
      <c r="F31" s="6">
        <v>0.12428081569427865</v>
      </c>
      <c r="G31" s="6">
        <v>0.18859716943319416</v>
      </c>
      <c r="H31" s="6">
        <v>0.12088972902726507</v>
      </c>
      <c r="I31" s="6">
        <v>0.11980876658677887</v>
      </c>
      <c r="J31" s="6">
        <v>0.14368407434207894</v>
      </c>
    </row>
    <row r="32" spans="3:17">
      <c r="C32" s="4" t="s">
        <v>27</v>
      </c>
      <c r="D32" s="6">
        <v>0.17416554369953544</v>
      </c>
      <c r="E32" s="6">
        <v>0.15035567844671383</v>
      </c>
      <c r="F32" s="6">
        <v>0.11688583584797579</v>
      </c>
      <c r="G32" s="6">
        <v>9.4965330348360799E-2</v>
      </c>
      <c r="H32" s="6">
        <v>0.11459217612964397</v>
      </c>
      <c r="I32" s="6">
        <v>0.12968338256813225</v>
      </c>
      <c r="J32" s="6">
        <v>0.13118493770753803</v>
      </c>
    </row>
    <row r="33" spans="3:10">
      <c r="C33" s="4" t="s">
        <v>601</v>
      </c>
      <c r="D33" s="6">
        <v>0.14814919934149992</v>
      </c>
      <c r="E33" s="6">
        <v>0.13687494054869698</v>
      </c>
      <c r="F33" s="6">
        <v>0.15615682164328951</v>
      </c>
      <c r="G33" s="6">
        <v>0.18425775384163354</v>
      </c>
      <c r="H33" s="6">
        <v>0.11750673823506559</v>
      </c>
      <c r="I33" s="6">
        <v>0.14814844474464284</v>
      </c>
      <c r="J33" s="6">
        <v>0.1482827247985285</v>
      </c>
    </row>
  </sheetData>
  <mergeCells count="2">
    <mergeCell ref="A1:E5"/>
    <mergeCell ref="H19:Q26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H19:Q26" r:id="rId5" display="video link :" xr:uid="{4745A1B8-305A-402F-87FB-9985E4E846A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5B1C-6939-4764-A0F0-1D59CE1C2DCE}">
  <sheetPr>
    <tabColor theme="4" tint="-0.249977111117893"/>
  </sheetPr>
  <dimension ref="A1:V45"/>
  <sheetViews>
    <sheetView topLeftCell="D5" workbookViewId="0">
      <selection activeCell="M23" sqref="M23:V30"/>
    </sheetView>
  </sheetViews>
  <sheetFormatPr defaultRowHeight="14.45"/>
  <cols>
    <col min="2" max="2" width="19.140625" bestFit="1" customWidth="1"/>
    <col min="3" max="3" width="21.7109375" bestFit="1" customWidth="1"/>
    <col min="4" max="4" width="15.28515625" bestFit="1" customWidth="1"/>
    <col min="5" max="5" width="15.85546875" bestFit="1" customWidth="1"/>
    <col min="6" max="6" width="16.85546875" bestFit="1" customWidth="1"/>
    <col min="7" max="7" width="19.140625" bestFit="1" customWidth="1"/>
    <col min="8" max="8" width="27.140625" bestFit="1" customWidth="1"/>
    <col min="9" max="9" width="12.5703125" bestFit="1" customWidth="1"/>
    <col min="10" max="10" width="18.28515625" customWidth="1"/>
    <col min="11" max="11" width="12" bestFit="1" customWidth="1"/>
    <col min="12" max="12" width="12.140625" bestFit="1" customWidth="1"/>
    <col min="13" max="13" width="17.7109375" bestFit="1" customWidth="1"/>
    <col min="14" max="14" width="11.5703125" bestFit="1" customWidth="1"/>
  </cols>
  <sheetData>
    <row r="1" spans="1:13" ht="14.45" customHeight="1">
      <c r="A1" s="52" t="s">
        <v>622</v>
      </c>
      <c r="B1" s="62"/>
      <c r="C1" s="62"/>
      <c r="D1" s="62"/>
      <c r="E1" s="63"/>
    </row>
    <row r="2" spans="1:13" ht="14.45" customHeight="1">
      <c r="A2" s="64"/>
      <c r="B2" s="65"/>
      <c r="C2" s="65"/>
      <c r="D2" s="65"/>
      <c r="E2" s="66"/>
    </row>
    <row r="3" spans="1:13" ht="14.45" customHeight="1">
      <c r="A3" s="64"/>
      <c r="B3" s="65"/>
      <c r="C3" s="65"/>
      <c r="D3" s="65"/>
      <c r="E3" s="66"/>
    </row>
    <row r="4" spans="1:13" ht="14.45" customHeight="1">
      <c r="A4" s="64"/>
      <c r="B4" s="65"/>
      <c r="C4" s="65"/>
      <c r="D4" s="65"/>
      <c r="E4" s="66"/>
    </row>
    <row r="5" spans="1:13" ht="15">
      <c r="A5" s="67"/>
      <c r="B5" s="68"/>
      <c r="C5" s="68"/>
      <c r="D5" s="68"/>
      <c r="E5" s="69"/>
    </row>
    <row r="6" spans="1:13" ht="21">
      <c r="J6" s="8"/>
    </row>
    <row r="7" spans="1:13" ht="21">
      <c r="G7" s="30" t="s">
        <v>623</v>
      </c>
      <c r="H7" s="19"/>
      <c r="I7" s="19"/>
      <c r="J7" s="30"/>
      <c r="K7" s="19"/>
      <c r="L7" s="31"/>
      <c r="M7" s="24"/>
    </row>
    <row r="8" spans="1:13">
      <c r="B8" s="3" t="s">
        <v>12</v>
      </c>
      <c r="C8" t="s">
        <v>624</v>
      </c>
      <c r="D8" t="s">
        <v>620</v>
      </c>
      <c r="E8" t="s">
        <v>604</v>
      </c>
      <c r="G8" s="3" t="s">
        <v>12</v>
      </c>
      <c r="H8" t="s">
        <v>618</v>
      </c>
      <c r="I8" t="s">
        <v>625</v>
      </c>
      <c r="J8" t="s">
        <v>626</v>
      </c>
      <c r="K8" t="s">
        <v>598</v>
      </c>
    </row>
    <row r="9" spans="1:13">
      <c r="B9" t="s">
        <v>25</v>
      </c>
      <c r="C9" s="12">
        <v>34774.602409638552</v>
      </c>
      <c r="D9" s="12">
        <v>2804.6385542168673</v>
      </c>
      <c r="E9" s="12">
        <v>149.10843373493975</v>
      </c>
      <c r="G9" s="4" t="s">
        <v>25</v>
      </c>
      <c r="H9" s="6">
        <v>0.15353197277249578</v>
      </c>
      <c r="I9" s="12">
        <v>12376</v>
      </c>
      <c r="J9" s="12">
        <v>2886292</v>
      </c>
      <c r="K9" s="12">
        <v>232785</v>
      </c>
    </row>
    <row r="10" spans="1:13">
      <c r="B10" t="s">
        <v>19</v>
      </c>
      <c r="C10" s="12">
        <v>38727.319444444445</v>
      </c>
      <c r="D10" s="12">
        <v>2950.4305555555557</v>
      </c>
      <c r="E10" s="12">
        <v>155.43055555555554</v>
      </c>
      <c r="G10" s="9" t="s">
        <v>627</v>
      </c>
      <c r="H10" s="6">
        <v>0.15612325571561478</v>
      </c>
      <c r="I10" s="12">
        <v>11503</v>
      </c>
      <c r="J10" s="12">
        <v>2686580</v>
      </c>
      <c r="K10" s="12">
        <v>216535</v>
      </c>
    </row>
    <row r="11" spans="1:13">
      <c r="B11" t="s">
        <v>39</v>
      </c>
      <c r="C11" s="12">
        <v>33482.717948717946</v>
      </c>
      <c r="D11" s="12">
        <v>2547</v>
      </c>
      <c r="E11" s="12">
        <v>159.7948717948718</v>
      </c>
      <c r="G11" s="9" t="s">
        <v>628</v>
      </c>
      <c r="H11" s="6">
        <v>0.12027717500246841</v>
      </c>
      <c r="I11" s="12">
        <v>873</v>
      </c>
      <c r="J11" s="12">
        <v>199712</v>
      </c>
      <c r="K11" s="12">
        <v>16250</v>
      </c>
    </row>
    <row r="12" spans="1:13">
      <c r="B12" t="s">
        <v>56</v>
      </c>
      <c r="C12" s="12">
        <v>31460.328358208953</v>
      </c>
      <c r="D12" s="12">
        <v>2628.4925373134329</v>
      </c>
      <c r="E12" s="12">
        <v>139.32835820895522</v>
      </c>
      <c r="G12" s="4" t="s">
        <v>19</v>
      </c>
      <c r="H12" s="6">
        <v>0.13707959493379679</v>
      </c>
      <c r="I12" s="12">
        <v>11191</v>
      </c>
      <c r="J12" s="12">
        <v>2788367</v>
      </c>
      <c r="K12" s="12">
        <v>212431</v>
      </c>
    </row>
    <row r="13" spans="1:13">
      <c r="B13" t="s">
        <v>601</v>
      </c>
      <c r="C13" s="12">
        <v>34647.176666666666</v>
      </c>
      <c r="D13" s="12">
        <v>2733.3033333333333</v>
      </c>
      <c r="E13" s="12">
        <v>151.22</v>
      </c>
      <c r="G13" s="9" t="s">
        <v>627</v>
      </c>
      <c r="H13" s="6">
        <v>0.13814560601264944</v>
      </c>
      <c r="I13" s="12">
        <v>9880</v>
      </c>
      <c r="J13" s="12">
        <v>2508661</v>
      </c>
      <c r="K13" s="12">
        <v>188063</v>
      </c>
    </row>
    <row r="14" spans="1:13">
      <c r="G14" s="9" t="s">
        <v>628</v>
      </c>
      <c r="H14" s="6">
        <v>0.12855150630297563</v>
      </c>
      <c r="I14" s="12">
        <v>1311</v>
      </c>
      <c r="J14" s="12">
        <v>279706</v>
      </c>
      <c r="K14" s="12">
        <v>24368</v>
      </c>
    </row>
    <row r="15" spans="1:13">
      <c r="G15" s="4" t="s">
        <v>39</v>
      </c>
      <c r="H15" s="6">
        <v>0.14444571342512216</v>
      </c>
      <c r="I15" s="12">
        <v>12464</v>
      </c>
      <c r="J15" s="12">
        <v>2611652</v>
      </c>
      <c r="K15" s="12">
        <v>198666</v>
      </c>
    </row>
    <row r="16" spans="1:13" ht="15">
      <c r="G16" s="9" t="s">
        <v>627</v>
      </c>
      <c r="H16" s="6">
        <v>0.14493516754623392</v>
      </c>
      <c r="I16" s="12">
        <v>10805</v>
      </c>
      <c r="J16" s="12">
        <v>2416564</v>
      </c>
      <c r="K16" s="12">
        <v>178693</v>
      </c>
    </row>
    <row r="17" spans="7:22" ht="15">
      <c r="G17" s="9" t="s">
        <v>628</v>
      </c>
      <c r="H17" s="6">
        <v>0.14016298986539422</v>
      </c>
      <c r="I17" s="12">
        <v>1659</v>
      </c>
      <c r="J17" s="12">
        <v>195088</v>
      </c>
      <c r="K17" s="12">
        <v>19973</v>
      </c>
    </row>
    <row r="18" spans="7:22">
      <c r="G18" s="4" t="s">
        <v>56</v>
      </c>
      <c r="H18" s="6">
        <v>0.15828607786639556</v>
      </c>
      <c r="I18" s="12">
        <v>9335</v>
      </c>
      <c r="J18" s="12">
        <v>2107842</v>
      </c>
      <c r="K18" s="12">
        <v>176109</v>
      </c>
    </row>
    <row r="19" spans="7:22">
      <c r="G19" s="9" t="s">
        <v>627</v>
      </c>
      <c r="H19" s="6">
        <v>0.15086526637230793</v>
      </c>
      <c r="I19" s="12">
        <v>8386</v>
      </c>
      <c r="J19" s="12">
        <v>1980477</v>
      </c>
      <c r="K19" s="12">
        <v>162409</v>
      </c>
    </row>
    <row r="20" spans="7:22">
      <c r="G20" s="9" t="s">
        <v>628</v>
      </c>
      <c r="H20" s="6">
        <v>0.22189303353000364</v>
      </c>
      <c r="I20" s="12">
        <v>949</v>
      </c>
      <c r="J20" s="12">
        <v>127365</v>
      </c>
      <c r="K20" s="12">
        <v>13700</v>
      </c>
    </row>
    <row r="21" spans="7:22">
      <c r="G21" s="4" t="s">
        <v>601</v>
      </c>
      <c r="H21" s="6">
        <v>0.14828272479852858</v>
      </c>
      <c r="I21" s="12">
        <v>45366</v>
      </c>
      <c r="J21" s="12">
        <v>10394153</v>
      </c>
      <c r="K21" s="12">
        <v>819991</v>
      </c>
    </row>
    <row r="23" spans="7:22" ht="15">
      <c r="M23" s="43" t="s">
        <v>35</v>
      </c>
      <c r="N23" s="43"/>
      <c r="O23" s="43"/>
      <c r="P23" s="43"/>
      <c r="Q23" s="43"/>
      <c r="R23" s="43"/>
      <c r="S23" s="43"/>
      <c r="T23" s="43"/>
      <c r="U23" s="43"/>
      <c r="V23" s="43"/>
    </row>
    <row r="24" spans="7:22" ht="15"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spans="7:22" ht="15"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spans="7:22" ht="15"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spans="7:22" ht="15"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spans="7:22" ht="15"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spans="7:22" ht="15"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7:22" ht="15"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3" spans="5:11" ht="18.75">
      <c r="E33" s="3" t="s">
        <v>618</v>
      </c>
      <c r="F33" s="3" t="s">
        <v>629</v>
      </c>
      <c r="I33" s="21" t="s">
        <v>630</v>
      </c>
    </row>
    <row r="34" spans="5:11">
      <c r="E34" s="3" t="s">
        <v>631</v>
      </c>
      <c r="F34" t="s">
        <v>627</v>
      </c>
      <c r="G34" t="s">
        <v>628</v>
      </c>
      <c r="H34" t="s">
        <v>601</v>
      </c>
      <c r="I34" s="19"/>
    </row>
    <row r="35" spans="5:11">
      <c r="E35" s="4" t="s">
        <v>25</v>
      </c>
      <c r="F35" s="6">
        <v>0.15612325571561478</v>
      </c>
      <c r="G35" s="6">
        <v>0.12027717500246841</v>
      </c>
      <c r="H35" s="6">
        <v>0.15353197277249578</v>
      </c>
      <c r="I35" s="20">
        <f>(G35-F35)/F35</f>
        <v>-0.2296011606268418</v>
      </c>
    </row>
    <row r="36" spans="5:11">
      <c r="E36" s="4" t="s">
        <v>19</v>
      </c>
      <c r="F36" s="6">
        <v>0.13814560601264944</v>
      </c>
      <c r="G36" s="6">
        <v>0.12855150630297563</v>
      </c>
      <c r="H36" s="6">
        <v>0.13707959493379679</v>
      </c>
      <c r="I36" s="20">
        <f>(G36-F36)/F36</f>
        <v>-6.9449184715982368E-2</v>
      </c>
    </row>
    <row r="37" spans="5:11">
      <c r="E37" s="4" t="s">
        <v>39</v>
      </c>
      <c r="F37" s="6">
        <v>0.14493516754623392</v>
      </c>
      <c r="G37" s="6">
        <v>0.14016298986539422</v>
      </c>
      <c r="H37" s="6">
        <v>0.14444571342512216</v>
      </c>
      <c r="I37" s="20">
        <f>(G37-F37)/F37</f>
        <v>-3.2926292228678003E-2</v>
      </c>
    </row>
    <row r="38" spans="5:11" ht="18.75">
      <c r="E38" s="4" t="s">
        <v>56</v>
      </c>
      <c r="F38" s="6">
        <v>0.15086526637230793</v>
      </c>
      <c r="G38" s="6">
        <v>0.22189303353000364</v>
      </c>
      <c r="H38" s="6">
        <v>0.15828607786639556</v>
      </c>
      <c r="I38" s="20">
        <f>(G38-F38)/F38</f>
        <v>0.47080264971270558</v>
      </c>
      <c r="J38" s="36" t="s">
        <v>632</v>
      </c>
      <c r="K38" s="10"/>
    </row>
    <row r="39" spans="5:11">
      <c r="E39" s="4" t="s">
        <v>601</v>
      </c>
      <c r="F39" s="6">
        <v>0.14782356895013571</v>
      </c>
      <c r="G39" s="6">
        <v>0.15257345703695843</v>
      </c>
      <c r="H39" s="6">
        <v>0.14828272479852853</v>
      </c>
      <c r="I39" s="19"/>
    </row>
    <row r="45" spans="5:11" ht="15"/>
  </sheetData>
  <mergeCells count="2">
    <mergeCell ref="A1:E5"/>
    <mergeCell ref="M23:V30"/>
  </mergeCells>
  <conditionalFormatting sqref="I35:I3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{0C07A87F-552C-465D-A7BA-49260593E1FE}</x14:id>
        </ext>
      </extLst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M23:V30" r:id="rId4" display="video link :" xr:uid="{02B28BC3-C7CD-405A-B861-B0158B876A9A}"/>
  </hyperlinks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07A87F-552C-465D-A7BA-49260593E1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I35:I38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4C2A-2A66-41AA-AAE4-BAC182EC8924}">
  <sheetPr>
    <tabColor theme="4" tint="-0.499984740745262"/>
  </sheetPr>
  <dimension ref="A1:U59"/>
  <sheetViews>
    <sheetView topLeftCell="A21" zoomScale="92" workbookViewId="0">
      <selection activeCell="L36" sqref="L36"/>
    </sheetView>
  </sheetViews>
  <sheetFormatPr defaultRowHeight="14.45"/>
  <cols>
    <col min="1" max="1" width="23.140625" bestFit="1" customWidth="1"/>
    <col min="2" max="2" width="11.85546875" bestFit="1" customWidth="1"/>
    <col min="3" max="3" width="9.85546875" bestFit="1" customWidth="1"/>
    <col min="4" max="4" width="7.42578125" bestFit="1" customWidth="1"/>
    <col min="5" max="5" width="8.7109375" bestFit="1" customWidth="1"/>
    <col min="6" max="6" width="11.42578125" bestFit="1" customWidth="1"/>
    <col min="8" max="8" width="11.85546875" customWidth="1"/>
    <col min="9" max="9" width="20" customWidth="1"/>
    <col min="10" max="10" width="26.5703125" customWidth="1"/>
    <col min="11" max="11" width="25.28515625" customWidth="1"/>
  </cols>
  <sheetData>
    <row r="1" spans="1:6" ht="15" customHeight="1">
      <c r="A1" s="52" t="s">
        <v>633</v>
      </c>
      <c r="B1" s="62"/>
      <c r="C1" s="62"/>
      <c r="D1" s="62"/>
      <c r="E1" s="62"/>
    </row>
    <row r="2" spans="1:6" ht="15" customHeight="1">
      <c r="A2" s="64"/>
      <c r="B2" s="65"/>
      <c r="C2" s="65"/>
      <c r="D2" s="65"/>
      <c r="E2" s="65"/>
    </row>
    <row r="3" spans="1:6" ht="15" customHeight="1">
      <c r="A3" s="64"/>
      <c r="B3" s="65"/>
      <c r="C3" s="65"/>
      <c r="D3" s="65"/>
      <c r="E3" s="65"/>
    </row>
    <row r="4" spans="1:6" ht="15" customHeight="1">
      <c r="A4" s="64"/>
      <c r="B4" s="65"/>
      <c r="C4" s="65"/>
      <c r="D4" s="65"/>
      <c r="E4" s="65"/>
    </row>
    <row r="5" spans="1:6" ht="15" customHeight="1">
      <c r="A5" s="32"/>
      <c r="B5" s="32"/>
      <c r="C5" s="32"/>
      <c r="D5" s="32"/>
      <c r="E5" s="32"/>
      <c r="F5" s="33"/>
    </row>
    <row r="6" spans="1:6" ht="21">
      <c r="A6" s="70" t="s">
        <v>634</v>
      </c>
      <c r="B6" s="70"/>
      <c r="C6" s="70"/>
      <c r="D6" s="70"/>
      <c r="E6" s="70"/>
      <c r="F6" s="70"/>
    </row>
    <row r="7" spans="1:6" ht="15">
      <c r="A7" s="3" t="s">
        <v>635</v>
      </c>
      <c r="B7" s="3" t="s">
        <v>1</v>
      </c>
    </row>
    <row r="8" spans="1:6">
      <c r="A8" s="3" t="s">
        <v>636</v>
      </c>
      <c r="B8" t="s">
        <v>41</v>
      </c>
      <c r="C8" t="s">
        <v>31</v>
      </c>
      <c r="D8" t="s">
        <v>14</v>
      </c>
      <c r="E8" t="s">
        <v>27</v>
      </c>
      <c r="F8" t="s">
        <v>601</v>
      </c>
    </row>
    <row r="9" spans="1:6">
      <c r="A9" s="37">
        <v>45656</v>
      </c>
      <c r="B9" s="12">
        <v>1776</v>
      </c>
      <c r="C9" s="12">
        <v>1765</v>
      </c>
      <c r="D9" s="12">
        <v>1529</v>
      </c>
      <c r="E9" s="12">
        <v>1460</v>
      </c>
      <c r="F9" s="35">
        <v>6530</v>
      </c>
    </row>
    <row r="10" spans="1:6">
      <c r="A10" s="11">
        <v>45698</v>
      </c>
      <c r="B10" s="12">
        <v>912</v>
      </c>
      <c r="C10" s="12">
        <v>1723</v>
      </c>
      <c r="D10" s="12">
        <v>1202</v>
      </c>
      <c r="E10" s="12">
        <v>1444</v>
      </c>
      <c r="F10" s="12">
        <v>5281</v>
      </c>
    </row>
    <row r="11" spans="1:6">
      <c r="A11" s="11">
        <v>45642</v>
      </c>
      <c r="B11" s="12">
        <v>1377</v>
      </c>
      <c r="C11" s="12">
        <v>1432</v>
      </c>
      <c r="D11" s="12">
        <v>1359</v>
      </c>
      <c r="E11" s="12">
        <v>876</v>
      </c>
      <c r="F11" s="12">
        <v>5044</v>
      </c>
    </row>
    <row r="12" spans="1:6">
      <c r="A12" s="11">
        <v>45712</v>
      </c>
      <c r="B12" s="12">
        <v>1707</v>
      </c>
      <c r="C12" s="12">
        <v>1375</v>
      </c>
      <c r="D12" s="12">
        <v>708</v>
      </c>
      <c r="E12" s="12">
        <v>1016</v>
      </c>
      <c r="F12" s="12">
        <v>4806</v>
      </c>
    </row>
    <row r="13" spans="1:6">
      <c r="A13" s="11">
        <v>45628</v>
      </c>
      <c r="B13" s="12">
        <v>1706</v>
      </c>
      <c r="C13" s="12">
        <v>1625</v>
      </c>
      <c r="D13" s="12">
        <v>1173</v>
      </c>
      <c r="E13" s="12">
        <v>291</v>
      </c>
      <c r="F13" s="12">
        <v>4795</v>
      </c>
    </row>
    <row r="14" spans="1:6">
      <c r="A14" s="11">
        <v>45635</v>
      </c>
      <c r="B14" s="12">
        <v>1373</v>
      </c>
      <c r="C14" s="12">
        <v>1119</v>
      </c>
      <c r="D14" s="12">
        <v>1727</v>
      </c>
      <c r="E14" s="12">
        <v>573</v>
      </c>
      <c r="F14" s="12">
        <v>4792</v>
      </c>
    </row>
    <row r="15" spans="1:6">
      <c r="A15" s="11">
        <v>45782</v>
      </c>
      <c r="B15" s="12">
        <v>339</v>
      </c>
      <c r="C15" s="12">
        <v>1881</v>
      </c>
      <c r="D15" s="12">
        <v>1510</v>
      </c>
      <c r="E15" s="12">
        <v>864</v>
      </c>
      <c r="F15" s="12">
        <v>4594</v>
      </c>
    </row>
    <row r="16" spans="1:6">
      <c r="A16" s="11">
        <v>45600</v>
      </c>
      <c r="B16" s="12">
        <v>540</v>
      </c>
      <c r="C16" s="12">
        <v>1397</v>
      </c>
      <c r="D16" s="12">
        <v>1603</v>
      </c>
      <c r="E16" s="12">
        <v>1044</v>
      </c>
      <c r="F16" s="12">
        <v>4584</v>
      </c>
    </row>
    <row r="17" spans="1:10">
      <c r="A17" s="11">
        <v>45544</v>
      </c>
      <c r="B17" s="12">
        <v>1428</v>
      </c>
      <c r="C17" s="12">
        <v>1572</v>
      </c>
      <c r="D17" s="12">
        <v>260</v>
      </c>
      <c r="E17" s="12">
        <v>1100</v>
      </c>
      <c r="F17" s="12">
        <v>4360</v>
      </c>
    </row>
    <row r="18" spans="1:10">
      <c r="A18" s="11">
        <v>45747</v>
      </c>
      <c r="B18" s="12">
        <v>514</v>
      </c>
      <c r="C18" s="12">
        <v>641</v>
      </c>
      <c r="D18" s="12">
        <v>1676</v>
      </c>
      <c r="E18" s="12">
        <v>1467</v>
      </c>
      <c r="F18" s="12">
        <v>4298</v>
      </c>
    </row>
    <row r="19" spans="1:10">
      <c r="A19" s="11">
        <v>45733</v>
      </c>
      <c r="B19" s="12">
        <v>1116</v>
      </c>
      <c r="C19" s="12">
        <v>680</v>
      </c>
      <c r="D19" s="12">
        <v>861</v>
      </c>
      <c r="E19" s="12">
        <v>1385</v>
      </c>
      <c r="F19" s="12">
        <v>4042</v>
      </c>
    </row>
    <row r="20" spans="1:10">
      <c r="A20" s="11">
        <v>45768</v>
      </c>
      <c r="B20" s="12">
        <v>1045</v>
      </c>
      <c r="C20" s="12">
        <v>603</v>
      </c>
      <c r="D20" s="12">
        <v>759</v>
      </c>
      <c r="E20" s="12">
        <v>1633</v>
      </c>
      <c r="F20" s="12">
        <v>4040</v>
      </c>
    </row>
    <row r="21" spans="1:10">
      <c r="A21" s="11">
        <v>45621</v>
      </c>
      <c r="B21" s="12">
        <v>1332</v>
      </c>
      <c r="C21" s="12">
        <v>1693</v>
      </c>
      <c r="D21" s="12">
        <v>98</v>
      </c>
      <c r="E21" s="12">
        <v>885</v>
      </c>
      <c r="F21" s="12">
        <v>4008</v>
      </c>
    </row>
    <row r="22" spans="1:10">
      <c r="A22" s="11">
        <v>45649</v>
      </c>
      <c r="B22" s="12">
        <v>730</v>
      </c>
      <c r="C22" s="12">
        <v>684</v>
      </c>
      <c r="D22" s="12">
        <v>911</v>
      </c>
      <c r="E22" s="12">
        <v>1589</v>
      </c>
      <c r="F22" s="12">
        <v>3914</v>
      </c>
    </row>
    <row r="23" spans="1:10">
      <c r="A23" s="11">
        <v>45460</v>
      </c>
      <c r="B23" s="12">
        <v>1382</v>
      </c>
      <c r="C23" s="12">
        <v>893</v>
      </c>
      <c r="D23" s="12">
        <v>1295</v>
      </c>
      <c r="E23" s="12">
        <v>337</v>
      </c>
      <c r="F23" s="12">
        <v>3907</v>
      </c>
    </row>
    <row r="24" spans="1:10">
      <c r="A24" s="11">
        <v>45572</v>
      </c>
      <c r="B24" s="12">
        <v>1662</v>
      </c>
      <c r="C24" s="12">
        <v>1872</v>
      </c>
      <c r="D24" s="12">
        <v>107</v>
      </c>
      <c r="E24" s="12">
        <v>118</v>
      </c>
      <c r="F24" s="12">
        <v>3759</v>
      </c>
    </row>
    <row r="25" spans="1:10">
      <c r="A25" s="11">
        <v>45516</v>
      </c>
      <c r="B25" s="12">
        <v>1334</v>
      </c>
      <c r="C25" s="12">
        <v>1325</v>
      </c>
      <c r="D25" s="12">
        <v>37</v>
      </c>
      <c r="E25" s="12">
        <v>1032</v>
      </c>
      <c r="F25" s="12">
        <v>3728</v>
      </c>
      <c r="H25" s="3" t="s">
        <v>1</v>
      </c>
      <c r="I25" t="s">
        <v>611</v>
      </c>
      <c r="J25" t="s">
        <v>610</v>
      </c>
    </row>
    <row r="26" spans="1:10">
      <c r="A26" s="11">
        <v>45726</v>
      </c>
      <c r="B26" s="12">
        <v>908</v>
      </c>
      <c r="C26" s="12">
        <v>212</v>
      </c>
      <c r="D26" s="12">
        <v>1350</v>
      </c>
      <c r="E26" s="12">
        <v>1242</v>
      </c>
      <c r="F26" s="12">
        <v>3712</v>
      </c>
      <c r="H26" s="4" t="s">
        <v>41</v>
      </c>
      <c r="I26" s="12">
        <v>27590.78</v>
      </c>
      <c r="J26" s="12">
        <v>711.14</v>
      </c>
    </row>
    <row r="27" spans="1:10">
      <c r="A27" s="11">
        <v>45705</v>
      </c>
      <c r="B27" s="12">
        <v>1590</v>
      </c>
      <c r="C27" s="12">
        <v>965</v>
      </c>
      <c r="D27" s="12">
        <v>-37</v>
      </c>
      <c r="E27" s="12">
        <v>1175</v>
      </c>
      <c r="F27" s="12">
        <v>3693</v>
      </c>
      <c r="H27" s="4" t="s">
        <v>31</v>
      </c>
      <c r="I27" s="12">
        <v>23287.46</v>
      </c>
      <c r="J27" s="12">
        <v>960.08</v>
      </c>
    </row>
    <row r="28" spans="1:10">
      <c r="A28" s="11">
        <v>45677</v>
      </c>
      <c r="B28" s="12">
        <v>427</v>
      </c>
      <c r="C28" s="12">
        <v>1572</v>
      </c>
      <c r="D28" s="12">
        <v>891</v>
      </c>
      <c r="E28" s="12">
        <v>724</v>
      </c>
      <c r="F28" s="12">
        <v>3614</v>
      </c>
      <c r="H28" s="4" t="s">
        <v>14</v>
      </c>
      <c r="I28" s="12">
        <v>21207.14</v>
      </c>
      <c r="J28" s="12">
        <v>823.54</v>
      </c>
    </row>
    <row r="29" spans="1:10">
      <c r="A29" s="11">
        <v>45775</v>
      </c>
      <c r="B29" s="12">
        <v>453</v>
      </c>
      <c r="C29" s="12">
        <v>1539</v>
      </c>
      <c r="D29" s="12">
        <v>948</v>
      </c>
      <c r="E29" s="12">
        <v>637</v>
      </c>
      <c r="F29" s="12">
        <v>3577</v>
      </c>
      <c r="H29" s="4" t="s">
        <v>27</v>
      </c>
      <c r="I29" s="12">
        <v>24572.94</v>
      </c>
      <c r="J29" s="12">
        <v>707.34</v>
      </c>
    </row>
    <row r="30" spans="1:10">
      <c r="A30" s="11">
        <v>45663</v>
      </c>
      <c r="B30" s="12">
        <v>620</v>
      </c>
      <c r="C30" s="12">
        <v>903</v>
      </c>
      <c r="D30" s="12">
        <v>1188</v>
      </c>
      <c r="E30" s="12">
        <v>846</v>
      </c>
      <c r="F30" s="12">
        <v>3557</v>
      </c>
      <c r="H30" s="4" t="s">
        <v>601</v>
      </c>
      <c r="I30" s="12">
        <v>24164.58</v>
      </c>
      <c r="J30" s="12">
        <v>800.52499999999998</v>
      </c>
    </row>
    <row r="31" spans="1:10">
      <c r="A31" s="11">
        <v>45446</v>
      </c>
      <c r="B31" s="12">
        <v>1002</v>
      </c>
      <c r="C31" s="12">
        <v>1047</v>
      </c>
      <c r="D31" s="12">
        <v>415</v>
      </c>
      <c r="E31" s="12">
        <v>1090</v>
      </c>
      <c r="F31" s="12">
        <v>3554</v>
      </c>
    </row>
    <row r="32" spans="1:10">
      <c r="A32" s="11">
        <v>45684</v>
      </c>
      <c r="B32" s="12">
        <v>898</v>
      </c>
      <c r="C32" s="12">
        <v>-166</v>
      </c>
      <c r="D32" s="12">
        <v>1426</v>
      </c>
      <c r="E32" s="12">
        <v>1225</v>
      </c>
      <c r="F32" s="12">
        <v>3383</v>
      </c>
    </row>
    <row r="33" spans="1:21">
      <c r="A33" s="11">
        <v>45558</v>
      </c>
      <c r="B33" s="12">
        <v>-19</v>
      </c>
      <c r="C33" s="12">
        <v>666</v>
      </c>
      <c r="D33" s="12">
        <v>1680</v>
      </c>
      <c r="E33" s="12">
        <v>1006</v>
      </c>
      <c r="F33" s="12">
        <v>3333</v>
      </c>
    </row>
    <row r="34" spans="1:21">
      <c r="A34" s="11">
        <v>45565</v>
      </c>
      <c r="B34" s="12">
        <v>-179</v>
      </c>
      <c r="C34" s="12">
        <v>1025</v>
      </c>
      <c r="D34" s="12">
        <v>599</v>
      </c>
      <c r="E34" s="12">
        <v>1706</v>
      </c>
      <c r="F34" s="12">
        <v>3151</v>
      </c>
    </row>
    <row r="35" spans="1:21">
      <c r="A35" s="11">
        <v>45481</v>
      </c>
      <c r="B35" s="12">
        <v>309</v>
      </c>
      <c r="C35" s="12">
        <v>1672</v>
      </c>
      <c r="D35" s="12">
        <v>547</v>
      </c>
      <c r="E35" s="12">
        <v>514</v>
      </c>
      <c r="F35" s="12">
        <v>3042</v>
      </c>
    </row>
    <row r="36" spans="1:21" ht="15">
      <c r="A36" s="11">
        <v>45467</v>
      </c>
      <c r="B36" s="12">
        <v>1670</v>
      </c>
      <c r="C36" s="12">
        <v>629</v>
      </c>
      <c r="D36" s="12">
        <v>835</v>
      </c>
      <c r="E36" s="12">
        <v>-123</v>
      </c>
      <c r="F36" s="12">
        <v>3011</v>
      </c>
      <c r="L36" s="43" t="s">
        <v>35</v>
      </c>
      <c r="M36" s="43"/>
      <c r="N36" s="43"/>
      <c r="O36" s="43"/>
      <c r="P36" s="43"/>
      <c r="Q36" s="43"/>
      <c r="R36" s="43"/>
      <c r="S36" s="43"/>
      <c r="T36" s="43"/>
      <c r="U36" s="43"/>
    </row>
    <row r="37" spans="1:21" ht="15">
      <c r="A37" s="11">
        <v>45523</v>
      </c>
      <c r="B37" s="12">
        <v>1058</v>
      </c>
      <c r="C37" s="12">
        <v>76</v>
      </c>
      <c r="D37" s="12">
        <v>1665</v>
      </c>
      <c r="E37" s="12">
        <v>190</v>
      </c>
      <c r="F37" s="12">
        <v>2989</v>
      </c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1:21" ht="15">
      <c r="A38" s="11">
        <v>45453</v>
      </c>
      <c r="B38" s="12">
        <v>1283</v>
      </c>
      <c r="C38" s="12">
        <v>517</v>
      </c>
      <c r="D38" s="12">
        <v>186</v>
      </c>
      <c r="E38" s="12">
        <v>994</v>
      </c>
      <c r="F38" s="12">
        <v>2980</v>
      </c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 ht="15">
      <c r="A39" s="11">
        <v>45530</v>
      </c>
      <c r="B39" s="12">
        <v>37</v>
      </c>
      <c r="C39" s="12">
        <v>1609</v>
      </c>
      <c r="D39" s="12">
        <v>1229</v>
      </c>
      <c r="E39" s="12">
        <v>28</v>
      </c>
      <c r="F39" s="12">
        <v>2903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 ht="15">
      <c r="A40" s="11">
        <v>45537</v>
      </c>
      <c r="B40" s="12">
        <v>1045</v>
      </c>
      <c r="C40" s="12">
        <v>1247</v>
      </c>
      <c r="D40" s="12">
        <v>197</v>
      </c>
      <c r="E40" s="12">
        <v>333</v>
      </c>
      <c r="F40" s="12">
        <v>2822</v>
      </c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 ht="15">
      <c r="A41" s="11">
        <v>45586</v>
      </c>
      <c r="B41" s="12">
        <v>439</v>
      </c>
      <c r="C41" s="12">
        <v>262</v>
      </c>
      <c r="D41" s="12">
        <v>636</v>
      </c>
      <c r="E41" s="12">
        <v>1484</v>
      </c>
      <c r="F41" s="12">
        <v>2821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 ht="15">
      <c r="A42" s="11">
        <v>45670</v>
      </c>
      <c r="B42" s="12">
        <v>298</v>
      </c>
      <c r="C42" s="12">
        <v>1722</v>
      </c>
      <c r="D42" s="12">
        <v>-144</v>
      </c>
      <c r="E42" s="12">
        <v>901</v>
      </c>
      <c r="F42" s="12">
        <v>2777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</row>
    <row r="43" spans="1:21" ht="15">
      <c r="A43" s="11">
        <v>45495</v>
      </c>
      <c r="B43" s="12">
        <v>961</v>
      </c>
      <c r="C43" s="12">
        <v>159</v>
      </c>
      <c r="D43" s="12">
        <v>1316</v>
      </c>
      <c r="E43" s="12">
        <v>317</v>
      </c>
      <c r="F43" s="12">
        <v>2753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</row>
    <row r="44" spans="1:21">
      <c r="A44" s="11">
        <v>45593</v>
      </c>
      <c r="B44" s="12">
        <v>386</v>
      </c>
      <c r="C44" s="12">
        <v>576</v>
      </c>
      <c r="D44" s="12">
        <v>37</v>
      </c>
      <c r="E44" s="12">
        <v>1657</v>
      </c>
      <c r="F44" s="12">
        <v>2656</v>
      </c>
    </row>
    <row r="45" spans="1:21">
      <c r="A45" s="11">
        <v>45754</v>
      </c>
      <c r="B45" s="12">
        <v>1029</v>
      </c>
      <c r="C45" s="12">
        <v>167</v>
      </c>
      <c r="D45" s="12">
        <v>1007</v>
      </c>
      <c r="E45" s="12">
        <v>209</v>
      </c>
      <c r="F45" s="12">
        <v>2412</v>
      </c>
    </row>
    <row r="46" spans="1:21">
      <c r="A46" s="11">
        <v>45719</v>
      </c>
      <c r="B46" s="12">
        <v>-119</v>
      </c>
      <c r="C46" s="12">
        <v>1315</v>
      </c>
      <c r="D46" s="12">
        <v>899</v>
      </c>
      <c r="E46" s="12">
        <v>315</v>
      </c>
      <c r="F46" s="12">
        <v>2410</v>
      </c>
    </row>
    <row r="47" spans="1:21">
      <c r="A47" s="11">
        <v>45607</v>
      </c>
      <c r="B47" s="12">
        <v>-106</v>
      </c>
      <c r="C47" s="12">
        <v>902</v>
      </c>
      <c r="D47" s="12">
        <v>1150</v>
      </c>
      <c r="E47" s="12">
        <v>349</v>
      </c>
      <c r="F47" s="12">
        <v>2295</v>
      </c>
    </row>
    <row r="48" spans="1:21">
      <c r="A48" s="11">
        <v>45488</v>
      </c>
      <c r="B48" s="12">
        <v>-164</v>
      </c>
      <c r="C48" s="12">
        <v>1845</v>
      </c>
      <c r="D48" s="12">
        <v>429</v>
      </c>
      <c r="E48" s="12">
        <v>160</v>
      </c>
      <c r="F48" s="12">
        <v>2270</v>
      </c>
    </row>
    <row r="49" spans="1:6">
      <c r="A49" s="11">
        <v>45691</v>
      </c>
      <c r="B49" s="12">
        <v>748</v>
      </c>
      <c r="C49" s="12">
        <v>1080</v>
      </c>
      <c r="D49" s="12">
        <v>569</v>
      </c>
      <c r="E49" s="12">
        <v>-203</v>
      </c>
      <c r="F49" s="12">
        <v>2194</v>
      </c>
    </row>
    <row r="50" spans="1:6">
      <c r="A50" s="11">
        <v>45502</v>
      </c>
      <c r="B50" s="12">
        <v>-318</v>
      </c>
      <c r="C50" s="12">
        <v>541</v>
      </c>
      <c r="D50" s="12">
        <v>1495</v>
      </c>
      <c r="E50" s="12">
        <v>475</v>
      </c>
      <c r="F50" s="12">
        <v>2193</v>
      </c>
    </row>
    <row r="51" spans="1:6">
      <c r="A51" s="11">
        <v>45789</v>
      </c>
      <c r="B51" s="12">
        <v>407</v>
      </c>
      <c r="C51" s="12">
        <v>1656</v>
      </c>
      <c r="D51" s="12">
        <v>269</v>
      </c>
      <c r="E51" s="12">
        <v>-337</v>
      </c>
      <c r="F51" s="12">
        <v>1995</v>
      </c>
    </row>
    <row r="52" spans="1:6">
      <c r="A52" s="11">
        <v>45579</v>
      </c>
      <c r="B52" s="12">
        <v>285</v>
      </c>
      <c r="C52" s="12">
        <v>1224</v>
      </c>
      <c r="D52" s="12">
        <v>-20</v>
      </c>
      <c r="E52" s="12">
        <v>367</v>
      </c>
      <c r="F52" s="12">
        <v>1856</v>
      </c>
    </row>
    <row r="53" spans="1:6">
      <c r="A53" s="11">
        <v>45740</v>
      </c>
      <c r="B53" s="12">
        <v>474</v>
      </c>
      <c r="C53" s="12">
        <v>461</v>
      </c>
      <c r="D53" s="12">
        <v>292</v>
      </c>
      <c r="E53" s="12">
        <v>389</v>
      </c>
      <c r="F53" s="12">
        <v>1616</v>
      </c>
    </row>
    <row r="54" spans="1:6">
      <c r="A54" s="11">
        <v>45551</v>
      </c>
      <c r="B54" s="12">
        <v>98</v>
      </c>
      <c r="C54" s="12">
        <v>377</v>
      </c>
      <c r="D54" s="12">
        <v>1125</v>
      </c>
      <c r="E54" s="12">
        <v>-32</v>
      </c>
      <c r="F54" s="12">
        <v>1568</v>
      </c>
    </row>
    <row r="55" spans="1:6">
      <c r="A55" s="11">
        <v>45474</v>
      </c>
      <c r="B55" s="12">
        <v>64</v>
      </c>
      <c r="C55" s="12">
        <v>-219</v>
      </c>
      <c r="D55" s="12">
        <v>1357</v>
      </c>
      <c r="E55" s="12">
        <v>91</v>
      </c>
      <c r="F55" s="12">
        <v>1293</v>
      </c>
    </row>
    <row r="56" spans="1:6">
      <c r="A56" s="11">
        <v>45509</v>
      </c>
      <c r="B56" s="12">
        <v>-197</v>
      </c>
      <c r="C56" s="12">
        <v>352</v>
      </c>
      <c r="D56" s="12">
        <v>328</v>
      </c>
      <c r="E56" s="12">
        <v>319</v>
      </c>
      <c r="F56" s="12">
        <v>802</v>
      </c>
    </row>
    <row r="57" spans="1:6">
      <c r="A57" s="11">
        <v>45614</v>
      </c>
      <c r="B57" s="12">
        <v>72</v>
      </c>
      <c r="C57" s="12">
        <v>-49</v>
      </c>
      <c r="D57" s="12">
        <v>445</v>
      </c>
      <c r="E57" s="12">
        <v>60</v>
      </c>
      <c r="F57" s="12">
        <v>528</v>
      </c>
    </row>
    <row r="58" spans="1:6">
      <c r="A58" s="11">
        <v>45761</v>
      </c>
      <c r="B58" s="12">
        <v>-175</v>
      </c>
      <c r="C58" s="12">
        <v>-160</v>
      </c>
      <c r="D58" s="12">
        <v>53</v>
      </c>
      <c r="E58" s="12">
        <v>145</v>
      </c>
      <c r="F58" s="12">
        <v>-137</v>
      </c>
    </row>
    <row r="59" spans="1:6">
      <c r="A59" s="11" t="s">
        <v>601</v>
      </c>
      <c r="B59" s="12">
        <v>35557</v>
      </c>
      <c r="C59" s="12">
        <v>48004</v>
      </c>
      <c r="D59" s="12">
        <v>41177</v>
      </c>
      <c r="E59" s="12">
        <v>35367</v>
      </c>
      <c r="F59" s="12">
        <v>160105</v>
      </c>
    </row>
  </sheetData>
  <mergeCells count="3">
    <mergeCell ref="A6:F6"/>
    <mergeCell ref="A1:E4"/>
    <mergeCell ref="L36:U43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L36:U43" r:id="rId3" display="video link :" xr:uid="{8DF350D7-84EF-4F68-8429-42DA0099082E}"/>
  </hyperlink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334807-A542-4B55-A138-360B0A5E2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Vyshnavi k.s</dc:creator>
  <cp:keywords/>
  <dc:description/>
  <cp:lastModifiedBy/>
  <cp:revision/>
  <dcterms:created xsi:type="dcterms:W3CDTF">2015-06-05T18:17:20Z</dcterms:created>
  <dcterms:modified xsi:type="dcterms:W3CDTF">2026-02-11T10:59:30Z</dcterms:modified>
  <cp:category/>
  <cp:contentStatus/>
</cp:coreProperties>
</file>